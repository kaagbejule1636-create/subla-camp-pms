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Budget Tracker" sheetId="3" state="visible" r:id="rId5"/>
    <sheet name="Expense Log" sheetId="4" state="visible" r:id="rId6"/>
    <sheet name="Dashboard" sheetId="5" state="visible" r:id="rId7"/>
    <sheet name="Vendor Directo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<sst xmlns="http://schemas.openxmlformats.org/spreadsheetml/2006/main" count="116" uniqueCount="105">
  <si>
    <t xml:space="preserve">SUBLA TEA</t>
  </si>
  <si>
    <t xml:space="preserve">PROJECT EXPENSE TRACKER</t>
  </si>
  <si>
    <t xml:space="preserve">Project Name:</t>
  </si>
  <si>
    <t xml:space="preserve">Subla Tea — Setup &amp; Build-Out</t>
  </si>
  <si>
    <t xml:space="preserve">Location:</t>
  </si>
  <si>
    <t xml:space="preserve">Prepared By:</t>
  </si>
  <si>
    <t xml:space="preserve">Kazeem Abolaji</t>
  </si>
  <si>
    <t xml:space="preserve">Date Prepared:</t>
  </si>
  <si>
    <t xml:space="preserve">Reporting Currency:</t>
  </si>
  <si>
    <t xml:space="preserve">AED</t>
  </si>
  <si>
    <t xml:space="preserve">Project Start Date:</t>
  </si>
  <si>
    <t xml:space="preserve">Target Completion Date:</t>
  </si>
  <si>
    <t xml:space="preserve">Contents</t>
  </si>
  <si>
    <t xml:space="preserve">1. Instructions — how to use this workbook</t>
  </si>
  <si>
    <t xml:space="preserve">2. Budget Tracker — budget vs. actual by category</t>
  </si>
  <si>
    <t xml:space="preserve">3. Expense Log — every transaction, line by line</t>
  </si>
  <si>
    <t xml:space="preserve">4. Dashboard — visual summary and KPIs</t>
  </si>
  <si>
    <t xml:space="preserve">5. Vendor Directory — supplier/contractor contacts</t>
  </si>
  <si>
    <t xml:space="preserve">Company Information</t>
  </si>
  <si>
    <t xml:space="preserve">Company Name:</t>
  </si>
  <si>
    <t xml:space="preserve">Company Description:</t>
  </si>
  <si>
    <t xml:space="preserve">Address Line 1:</t>
  </si>
  <si>
    <t xml:space="preserve">Address Line 2:</t>
  </si>
  <si>
    <t xml:space="preserve">City:</t>
  </si>
  <si>
    <t xml:space="preserve">Emirate/State:</t>
  </si>
  <si>
    <t xml:space="preserve">Country:</t>
  </si>
  <si>
    <t xml:space="preserve">P.O. Box:</t>
  </si>
  <si>
    <t xml:space="preserve">How to Use This Workbook</t>
  </si>
  <si>
    <t xml:space="preserve">1. Set your budget</t>
  </si>
  <si>
    <t xml:space="preserve">Go to Budget Tracker and enter the budgeted (planned) amount for each category in the yellow cells. This is your spending ceiling per category.</t>
  </si>
  <si>
    <t xml:space="preserve">2. Log every expense</t>
  </si>
  <si>
    <t xml:space="preserve">Go to Expense Log and add one row per transaction — date, category, description, vendor, invoice number, payment method, status, amount, VAT/tax %, who approved it, and project phase. Only the yellow cells need manual entry; VAT amount and Total are calculated automatically.</t>
  </si>
  <si>
    <t xml:space="preserve">3. Watch the Dashboard</t>
  </si>
  <si>
    <t xml:space="preserve">The Dashboard sheet updates itself from the Expense Log and Budget Tracker — no manual work needed there. It shows total spent, remaining budget, spend by category, and payment status breakdown.</t>
  </si>
  <si>
    <t xml:space="preserve">4. Track vendors</t>
  </si>
  <si>
    <t xml:space="preserve">Use Vendor Directory to keep contractor and supplier contact details in one place.</t>
  </si>
  <si>
    <t xml:space="preserve">5. Keep formulas intact</t>
  </si>
  <si>
    <t xml:space="preserve">Cells that are NOT shaded yellow contain formulas — avoid typing over them, or the totals will stop updating correctly.</t>
  </si>
  <si>
    <t xml:space="preserve">6. Color key</t>
  </si>
  <si>
    <t xml:space="preserve">Yellow = enter data here. White/blue = automatic formulas, do not edit. Grey italics = example row, delete before use.</t>
  </si>
  <si>
    <t xml:space="preserve">Budget vs. Actual — by Category</t>
  </si>
  <si>
    <t xml:space="preserve">Category</t>
  </si>
  <si>
    <t xml:space="preserve">Budgeted Amount (AED)</t>
  </si>
  <si>
    <t xml:space="preserve">Actual Spend (AED)</t>
  </si>
  <si>
    <t xml:space="preserve">Variance (AED)</t>
  </si>
  <si>
    <t xml:space="preserve">% of Budget Used</t>
  </si>
  <si>
    <t xml:space="preserve">Notes / Justification</t>
  </si>
  <si>
    <t xml:space="preserve">Construction</t>
  </si>
  <si>
    <t xml:space="preserve">Machinery &amp; Equipment</t>
  </si>
  <si>
    <t xml:space="preserve">Water</t>
  </si>
  <si>
    <t xml:space="preserve">Transportation</t>
  </si>
  <si>
    <t xml:space="preserve">Furniture &amp; Fittings</t>
  </si>
  <si>
    <t xml:space="preserve">Utilities (Electricity/Gas)</t>
  </si>
  <si>
    <t xml:space="preserve">Permits &amp; Licensing</t>
  </si>
  <si>
    <t xml:space="preserve">Labor / Contractor Fees</t>
  </si>
  <si>
    <t xml:space="preserve">Raw Materials &amp; Supplies</t>
  </si>
  <si>
    <t xml:space="preserve">Marketing &amp; Branding</t>
  </si>
  <si>
    <t xml:space="preserve">Contingency</t>
  </si>
  <si>
    <t xml:space="preserve">Miscellaneous</t>
  </si>
  <si>
    <t xml:space="preserve">TOTAL</t>
  </si>
  <si>
    <t xml:space="preserve">Yellow cells = enter budget &amp; notes. Actual, Variance, % Used calculate automatically from the Expense Log.</t>
  </si>
  <si>
    <t xml:space="preserve">Expense Log — All Transactions</t>
  </si>
  <si>
    <t xml:space="preserve">Date</t>
  </si>
  <si>
    <t xml:space="preserve">Sub-category / Item</t>
  </si>
  <si>
    <t xml:space="preserve">Description</t>
  </si>
  <si>
    <t xml:space="preserve">Vendor / Supplier</t>
  </si>
  <si>
    <t xml:space="preserve">Invoice / Receipt No.</t>
  </si>
  <si>
    <t xml:space="preserve">Payment Method</t>
  </si>
  <si>
    <t xml:space="preserve">Payment Status</t>
  </si>
  <si>
    <t xml:space="preserve">Currency</t>
  </si>
  <si>
    <t xml:space="preserve">Amount (Excl. Tax)</t>
  </si>
  <si>
    <t xml:space="preserve">VAT/Tax %</t>
  </si>
  <si>
    <t xml:space="preserve">VAT/Tax Amount</t>
  </si>
  <si>
    <t xml:space="preserve">Total Amount</t>
  </si>
  <si>
    <t xml:space="preserve">Approved By</t>
  </si>
  <si>
    <t xml:space="preserve">Project Phase</t>
  </si>
  <si>
    <t xml:space="preserve">Notes</t>
  </si>
  <si>
    <t xml:space="preserve">2026-01-15</t>
  </si>
  <si>
    <t xml:space="preserve">Foundation &amp; block work</t>
  </si>
  <si>
    <t xml:space="preserve">Phase 1 foundation and block work</t>
  </si>
  <si>
    <t xml:space="preserve">Al Noor Contracting</t>
  </si>
  <si>
    <t xml:space="preserve">INV-0001</t>
  </si>
  <si>
    <t xml:space="preserve">Bank Transfer</t>
  </si>
  <si>
    <t xml:space="preserve">Paid</t>
  </si>
  <si>
    <t xml:space="preserve">K. Abolaji</t>
  </si>
  <si>
    <t xml:space="preserve">Example row — delete before use</t>
  </si>
  <si>
    <t xml:space="preserve">Legend: Yellow cells = enter your data. VAT/Tax Amount &amp; Total Amount calculate automatically. Row 3 is an example — delete before use.</t>
  </si>
  <si>
    <t xml:space="preserve">SUBLA TEA — PROJECT EXPENSE DASHBOARD</t>
  </si>
  <si>
    <t xml:space="preserve">Total Budget (AED)</t>
  </si>
  <si>
    <t xml:space="preserve">Total Spent (AED)</t>
  </si>
  <si>
    <t xml:space="preserve">Remaining Budget (AED)</t>
  </si>
  <si>
    <t xml:space="preserve">Spend by Category</t>
  </si>
  <si>
    <t xml:space="preserve">Spend by Payment Status</t>
  </si>
  <si>
    <t xml:space="preserve">Actual (AED)</t>
  </si>
  <si>
    <t xml:space="preserve">Status</t>
  </si>
  <si>
    <t xml:space="preserve">Amount (AED)</t>
  </si>
  <si>
    <t xml:space="preserve">Pending</t>
  </si>
  <si>
    <t xml:space="preserve">Partially Paid</t>
  </si>
  <si>
    <t xml:space="preserve">Overdue</t>
  </si>
  <si>
    <t xml:space="preserve">All figures on this sheet update automatically. Do not edit — manage data in Budget Tracker and Expense Log.</t>
  </si>
  <si>
    <t xml:space="preserve">Vendor &amp; Contractor Directory</t>
  </si>
  <si>
    <t xml:space="preserve">Contact Person</t>
  </si>
  <si>
    <t xml:space="preserve">Phone</t>
  </si>
  <si>
    <t xml:space="preserve">Email</t>
  </si>
  <si>
    <t xml:space="preserve">Trade License No.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</si>
</sst>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yyyy\-mm\-dd"/>
    <numFmt numFmtId="168" formatCode="#,##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1F3864"/>
      <name val="Arial"/>
      <family val="0"/>
      <charset val="1"/>
    </font>
    <font>
      <b val="true"/>
      <sz val="16"/>
      <color rgb="FFC9A227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BF0D9"/>
      </patternFill>
    </fill>
    <fill>
      <patternFill patternType="solid">
        <fgColor rgb="FFD9E2F3"/>
        <bgColor rgb="FFD9D9D9"/>
      </patternFill>
    </fill>
    <fill>
      <patternFill patternType="solid">
        <fgColor rgb="FFFBF0D9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BF0D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0B4"/>
      <rgbColor rgb="FFFFFF99"/>
      <rgbColor rgb="FF99CCFF"/>
      <rgbColor rgb="FFFF99CC"/>
      <rgbColor rgb="FFCC99FF"/>
      <rgbColor rgb="FFF8CBAD"/>
      <rgbColor rgb="FF4F81BD"/>
      <rgbColor rgb="FF33CCCC"/>
      <rgbColor rgb="FF9BBB59"/>
      <rgbColor rgb="FFFFCC00"/>
      <rgbColor rgb="FFC9A227"/>
      <rgbColor rgb="FFFF6600"/>
      <rgbColor rgb="FF8064A2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 by Category (AED)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Dashboard!C10</c:f>
              <c:strCache>
                <c:ptCount val="1"/>
                <c:pt idx="0">
                  <c:v>Actual (AED)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Dashboard!$B$11:$B$22</c:f>
              <c:strCache>
                <c:ptCount val="12"/>
                <c:pt idx="0">
                  <c:v>Construction</c:v>
                </c:pt>
                <c:pt idx="1">
                  <c:v>Machinery &amp; Equipment</c:v>
                </c:pt>
                <c:pt idx="2">
                  <c:v>Water</c:v>
                </c:pt>
                <c:pt idx="3">
                  <c:v>Transportation</c:v>
                </c:pt>
                <c:pt idx="4">
                  <c:v>Furniture &amp; Fittings</c:v>
                </c:pt>
                <c:pt idx="5">
                  <c:v>Utilities (Electricity/Gas)</c:v>
                </c:pt>
                <c:pt idx="6">
                  <c:v>Permits &amp; Licensing</c:v>
                </c:pt>
                <c:pt idx="7">
                  <c:v>Labor / Contractor Fees</c:v>
                </c:pt>
                <c:pt idx="8">
                  <c:v>Raw Materials &amp; Supplies</c:v>
                </c:pt>
                <c:pt idx="9">
                  <c:v>Marketing &amp; Branding</c:v>
                </c:pt>
                <c:pt idx="10">
                  <c:v>Contingency</c:v>
                </c:pt>
                <c:pt idx="11">
                  <c:v>Miscellaneous</c:v>
                </c:pt>
              </c:strCache>
            </c:strRef>
          </c:cat>
          <c:val>
            <c:numRef>
              <c:f>Dashboard!$C$11:$C$22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11534563"/>
        <c:axId val="10377819"/>
      </c:barChart>
      <c:catAx>
        <c:axId val="115345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77819"/>
        <c:crosses val="autoZero"/>
        <c:auto val="1"/>
        <c:lblAlgn val="ctr"/>
        <c:lblOffset val="100"/>
        <c:noMultiLvlLbl val="0"/>
      </c:catAx>
      <c:valAx>
        <c:axId val="103778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5345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 by Payment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Dashboard!F10</c:f>
              <c:strCache>
                <c:ptCount val="1"/>
                <c:pt idx="0">
                  <c:v>Amount (AED)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Dashboard!$E$11:$E$14</c:f>
              <c:strCache>
                <c:ptCount val="4"/>
                <c:pt idx="0">
                  <c:v>Paid</c:v>
                </c:pt>
                <c:pt idx="1">
                  <c:v>Pending</c:v>
                </c:pt>
                <c:pt idx="2">
                  <c:v>Partially Paid</c:v>
                </c:pt>
                <c:pt idx="3">
                  <c:v>Overdue</c:v>
                </c:pt>
              </c:strCache>
            </c:strRef>
          </c:cat>
          <c:val>
            <c:numRef>
              <c:f>Dashboard!$F$11:$F$14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131040</xdr:rowOff>
    </xdr:from>
    <xdr:to>
      <xdr:col>8</xdr:col>
      <xdr:colOff>276840</xdr:colOff>
      <xdr:row>37</xdr:row>
      <xdr:rowOff>153000</xdr:rowOff>
    </xdr:to>
    <xdr:graphicFrame>
      <xdr:nvGraphicFramePr>
        <xdr:cNvPr id="0" name="Chart 1"/>
        <xdr:cNvGraphicFramePr/>
      </xdr:nvGraphicFramePr>
      <xdr:xfrm>
        <a:off x="281880" y="4381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14</xdr:row>
      <xdr:rowOff>131040</xdr:rowOff>
    </xdr:from>
    <xdr:to>
      <xdr:col>9</xdr:col>
      <xdr:colOff>606960</xdr:colOff>
      <xdr:row>29</xdr:row>
      <xdr:rowOff>153000</xdr:rowOff>
    </xdr:to>
    <xdr:graphicFrame>
      <xdr:nvGraphicFramePr>
        <xdr:cNvPr id="1" name="Chart 2"/>
        <xdr:cNvGraphicFramePr/>
      </xdr:nvGraphicFramePr>
      <xdr:xfrm>
        <a:off x="3383280" y="2857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5" min="4" style="0" width="22"/>
    <col collapsed="false" customWidth="true" hidden="false" outlineLevel="0" max="6" min="6" style="0" width="4"/>
  </cols>
  <sheetData>
    <row r="2" customFormat="false" ht="31.5" hidden="false" customHeight="false" outlineLevel="0" collapsed="false">
      <c r="B2" s="1" t="s">
        <v>0</v>
      </c>
      <c r="C2" s="1"/>
      <c r="D2" s="1"/>
      <c r="E2" s="1"/>
    </row>
    <row r="3" customFormat="false" ht="19.7" hidden="false" customHeight="false" outlineLevel="0" collapsed="false">
      <c r="B3" s="2" t="s">
        <v>1</v>
      </c>
      <c r="C3" s="2"/>
      <c r="D3" s="2"/>
      <c r="E3" s="2"/>
    </row>
    <row r="5" customFormat="false" ht="3.75" hidden="false" customHeight="true" outlineLevel="0" collapsed="false">
      <c r="B5" s="3"/>
      <c r="C5" s="3"/>
      <c r="D5" s="3"/>
      <c r="E5" s="3"/>
    </row>
    <row r="7" customFormat="false" ht="15" hidden="false" customHeight="false" outlineLevel="0" collapsed="false">
      <c r="B7" s="4" t="s">
        <v>2</v>
      </c>
      <c r="C7" s="5" t="s">
        <v>3</v>
      </c>
    </row>
    <row r="8" customFormat="false" ht="15" hidden="false" customHeight="false" outlineLevel="0" collapsed="false">
      <c r="B8" s="4" t="s">
        <v>4</v>
      </c>
      <c r="C8" s="5"/>
    </row>
    <row r="9" customFormat="false" ht="15" hidden="false" customHeight="false" outlineLevel="0" collapsed="false">
      <c r="B9" s="4" t="s">
        <v>5</v>
      </c>
      <c r="C9" s="5" t="s">
        <v>6</v>
      </c>
    </row>
    <row r="10" customFormat="false" ht="15" hidden="false" customHeight="false" outlineLevel="0" collapsed="false">
      <c r="B10" s="4" t="s">
        <v>7</v>
      </c>
      <c r="C10" s="5"/>
    </row>
    <row r="11" customFormat="false" ht="15" hidden="false" customHeight="false" outlineLevel="0" collapsed="false">
      <c r="B11" s="4" t="s">
        <v>8</v>
      </c>
      <c r="C11" s="5" t="s">
        <v>9</v>
      </c>
    </row>
    <row r="12" customFormat="false" ht="15" hidden="false" customHeight="false" outlineLevel="0" collapsed="false">
      <c r="B12" s="4" t="s">
        <v>10</v>
      </c>
      <c r="C12" s="5"/>
    </row>
    <row r="13" customFormat="false" ht="15" hidden="false" customHeight="false" outlineLevel="0" collapsed="false">
      <c r="B13" s="4" t="s">
        <v>11</v>
      </c>
      <c r="C13" s="5"/>
    </row>
    <row r="15" customFormat="false" ht="15" hidden="false" customHeight="false" outlineLevel="0" collapsed="false">
      <c r="B15" s="6" t="s">
        <v>12</v>
      </c>
      <c r="C15" s="6"/>
      <c r="D15" s="6"/>
      <c r="E15" s="6"/>
    </row>
    <row r="16" customFormat="false" ht="15" hidden="false" customHeight="false" outlineLevel="0" collapsed="false">
      <c r="B16" s="7" t="s">
        <v>13</v>
      </c>
      <c r="C16" s="7"/>
      <c r="D16" s="7"/>
      <c r="E16" s="7"/>
    </row>
    <row r="17" customFormat="false" ht="15" hidden="false" customHeight="false" outlineLevel="0" collapsed="false">
      <c r="B17" s="7" t="s">
        <v>14</v>
      </c>
      <c r="C17" s="7"/>
      <c r="D17" s="7"/>
      <c r="E17" s="7"/>
    </row>
    <row r="18" customFormat="false" ht="15" hidden="false" customHeight="false" outlineLevel="0" collapsed="false">
      <c r="B18" s="7" t="s">
        <v>15</v>
      </c>
      <c r="C18" s="7"/>
      <c r="D18" s="7"/>
      <c r="E18" s="7"/>
    </row>
    <row r="19" customFormat="false" ht="15" hidden="false" customHeight="false" outlineLevel="0" collapsed="false">
      <c r="B19" s="7" t="s">
        <v>16</v>
      </c>
      <c r="C19" s="7"/>
      <c r="D19" s="7"/>
      <c r="E19" s="7"/>
    </row>
    <row r="20" customFormat="false" ht="15" hidden="false" customHeight="false" outlineLevel="0" collapsed="false">
      <c r="B20" s="7" t="s">
        <v>17</v>
      </c>
      <c r="C20" s="7"/>
      <c r="D20" s="7"/>
      <c r="E20" s="7"/>
    </row>
  </sheetData>
  <mergeCells count="9">
    <mergeCell ref="B2:E2"/>
    <mergeCell ref="B3:E3"/>
    <mergeCell ref="B5:E5"/>
    <mergeCell ref="B15:E15"/>
    <mergeCell ref="B16:E16"/>
    <mergeCell ref="B17:E17"/>
    <mergeCell ref="B18:E18"/>
    <mergeCell ref="B19:E19"/>
    <mergeCell ref="B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78"/>
  </cols>
  <sheetData>
    <row r="2" customFormat="false" ht="15" hidden="false" customHeight="false" outlineLevel="0" collapsed="false">
      <c r="B2" s="8" t="s">
        <v>18</v>
      </c>
    </row>
    <row r="3" customFormat="false" ht="15" hidden="false" customHeight="false" outlineLevel="0" collapsed="false">
      <c r="B3" s="9" t="s">
        <v>19</v>
      </c>
      <c r="C3" s="10"/>
    </row>
    <row r="4" customFormat="false" ht="30" hidden="false" customHeight="true" outlineLevel="0" collapsed="false">
      <c r="B4" s="9" t="s">
        <v>20</v>
      </c>
      <c r="C4" s="11"/>
    </row>
    <row r="5" customFormat="false" ht="15" hidden="false" customHeight="false" outlineLevel="0" collapsed="false">
      <c r="B5" s="9" t="s">
        <v>21</v>
      </c>
      <c r="C5" s="10"/>
    </row>
    <row r="6" customFormat="false" ht="15" hidden="false" customHeight="false" outlineLevel="0" collapsed="false">
      <c r="B6" s="9" t="s">
        <v>22</v>
      </c>
      <c r="C6" s="10"/>
    </row>
    <row r="7" customFormat="false" ht="15" hidden="false" customHeight="false" outlineLevel="0" collapsed="false">
      <c r="B7" s="9" t="s">
        <v>23</v>
      </c>
      <c r="C7" s="10"/>
    </row>
    <row r="8" customFormat="false" ht="15" hidden="false" customHeight="false" outlineLevel="0" collapsed="false">
      <c r="B8" s="9" t="s">
        <v>24</v>
      </c>
      <c r="C8" s="10"/>
    </row>
    <row r="9" customFormat="false" ht="15" hidden="false" customHeight="false" outlineLevel="0" collapsed="false">
      <c r="B9" s="9" t="s">
        <v>25</v>
      </c>
      <c r="C9" s="10"/>
    </row>
    <row r="10" customFormat="false" ht="15" hidden="false" customHeight="false" outlineLevel="0" collapsed="false">
      <c r="B10" s="9" t="s">
        <v>26</v>
      </c>
      <c r="C10" s="10"/>
    </row>
    <row r="12" customFormat="false" ht="19.7" hidden="false" customHeight="false" outlineLevel="0" collapsed="false">
      <c r="B12" s="12" t="s">
        <v>27</v>
      </c>
    </row>
    <row r="14" customFormat="false" ht="15" hidden="false" customHeight="false" outlineLevel="0" collapsed="false">
      <c r="B14" s="13" t="s">
        <v>28</v>
      </c>
      <c r="C14" s="13"/>
    </row>
    <row r="15" customFormat="false" ht="30" hidden="false" customHeight="true" outlineLevel="0" collapsed="false">
      <c r="B15" s="14" t="s">
        <v>29</v>
      </c>
      <c r="C15" s="14"/>
    </row>
    <row r="17" customFormat="false" ht="15" hidden="false" customHeight="false" outlineLevel="0" collapsed="false">
      <c r="B17" s="13" t="s">
        <v>30</v>
      </c>
      <c r="C17" s="13"/>
    </row>
    <row r="18" customFormat="false" ht="30" hidden="false" customHeight="true" outlineLevel="0" collapsed="false">
      <c r="B18" s="14" t="s">
        <v>31</v>
      </c>
      <c r="C18" s="14"/>
    </row>
    <row r="20" customFormat="false" ht="15" hidden="false" customHeight="false" outlineLevel="0" collapsed="false">
      <c r="B20" s="13" t="s">
        <v>32</v>
      </c>
      <c r="C20" s="13"/>
    </row>
    <row r="21" customFormat="false" ht="30" hidden="false" customHeight="true" outlineLevel="0" collapsed="false">
      <c r="B21" s="14" t="s">
        <v>33</v>
      </c>
      <c r="C21" s="14"/>
    </row>
    <row r="23" customFormat="false" ht="15" hidden="false" customHeight="false" outlineLevel="0" collapsed="false">
      <c r="B23" s="13" t="s">
        <v>34</v>
      </c>
      <c r="C23" s="13"/>
    </row>
    <row r="24" customFormat="false" ht="30" hidden="false" customHeight="true" outlineLevel="0" collapsed="false">
      <c r="B24" s="14" t="s">
        <v>35</v>
      </c>
      <c r="C24" s="14"/>
    </row>
    <row r="26" customFormat="false" ht="15" hidden="false" customHeight="false" outlineLevel="0" collapsed="false">
      <c r="B26" s="13" t="s">
        <v>36</v>
      </c>
      <c r="C26" s="13"/>
    </row>
    <row r="27" customFormat="false" ht="30" hidden="false" customHeight="true" outlineLevel="0" collapsed="false">
      <c r="B27" s="14" t="s">
        <v>37</v>
      </c>
      <c r="C27" s="14"/>
    </row>
    <row r="29" customFormat="false" ht="15" hidden="false" customHeight="false" outlineLevel="0" collapsed="false">
      <c r="B29" s="13" t="s">
        <v>38</v>
      </c>
      <c r="C29" s="13"/>
    </row>
    <row r="30" customFormat="false" ht="30" hidden="false" customHeight="true" outlineLevel="0" collapsed="false">
      <c r="B30" s="14" t="s">
        <v>39</v>
      </c>
      <c r="C30" s="14"/>
    </row>
  </sheetData>
  <mergeCells count="12">
    <mergeCell ref="B14:C14"/>
    <mergeCell ref="B15:C15"/>
    <mergeCell ref="B17:C17"/>
    <mergeCell ref="B18:C18"/>
    <mergeCell ref="B20:C20"/>
    <mergeCell ref="B21:C21"/>
    <mergeCell ref="B23:C23"/>
    <mergeCell ref="B24:C24"/>
    <mergeCell ref="B26:C26"/>
    <mergeCell ref="B27:C27"/>
    <mergeCell ref="B29:C29"/>
    <mergeCell ref="B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5" t="s">
        <v>40</v>
      </c>
      <c r="B1" s="15"/>
      <c r="C1" s="15"/>
      <c r="D1" s="15"/>
      <c r="E1" s="15"/>
      <c r="F1" s="15"/>
    </row>
    <row r="2" customFormat="false" ht="31.5" hidden="false" customHeight="true" outlineLevel="0" collapsed="false">
      <c r="A2" s="16" t="s">
        <v>41</v>
      </c>
      <c r="B2" s="16" t="s">
        <v>42</v>
      </c>
      <c r="C2" s="16" t="s">
        <v>43</v>
      </c>
      <c r="D2" s="16" t="s">
        <v>44</v>
      </c>
      <c r="E2" s="16" t="s">
        <v>45</v>
      </c>
      <c r="F2" s="16" t="s">
        <v>46</v>
      </c>
    </row>
    <row r="3" customFormat="false" ht="15" hidden="false" customHeight="false" outlineLevel="0" collapsed="false">
      <c r="A3" s="17" t="s">
        <v>47</v>
      </c>
      <c r="B3" s="18"/>
      <c r="C3" s="19" t="n">
        <f aca="false">SUMIFS('Expense Log'!$M$4:$M$201,'Expense Log'!$B$4:$B$201,A3)</f>
        <v>0</v>
      </c>
      <c r="D3" s="19" t="n">
        <f aca="false">B3-C3</f>
        <v>0</v>
      </c>
      <c r="E3" s="20" t="n">
        <f aca="false">IFERROR(C3/B3,0)</f>
        <v>0</v>
      </c>
      <c r="F3" s="10"/>
    </row>
    <row r="4" customFormat="false" ht="15" hidden="false" customHeight="false" outlineLevel="0" collapsed="false">
      <c r="A4" s="17" t="s">
        <v>48</v>
      </c>
      <c r="B4" s="18"/>
      <c r="C4" s="19" t="n">
        <f aca="false">SUMIFS('Expense Log'!$M$4:$M$201,'Expense Log'!$B$4:$B$201,A4)</f>
        <v>0</v>
      </c>
      <c r="D4" s="19" t="n">
        <f aca="false">B4-C4</f>
        <v>0</v>
      </c>
      <c r="E4" s="20" t="n">
        <f aca="false">IFERROR(C4/B4,0)</f>
        <v>0</v>
      </c>
      <c r="F4" s="10"/>
    </row>
    <row r="5" customFormat="false" ht="15" hidden="false" customHeight="false" outlineLevel="0" collapsed="false">
      <c r="A5" s="17" t="s">
        <v>49</v>
      </c>
      <c r="B5" s="18"/>
      <c r="C5" s="19" t="n">
        <f aca="false">SUMIFS('Expense Log'!$M$4:$M$201,'Expense Log'!$B$4:$B$201,A5)</f>
        <v>0</v>
      </c>
      <c r="D5" s="19" t="n">
        <f aca="false">B5-C5</f>
        <v>0</v>
      </c>
      <c r="E5" s="20" t="n">
        <f aca="false">IFERROR(C5/B5,0)</f>
        <v>0</v>
      </c>
      <c r="F5" s="10"/>
    </row>
    <row r="6" customFormat="false" ht="15" hidden="false" customHeight="false" outlineLevel="0" collapsed="false">
      <c r="A6" s="17" t="s">
        <v>50</v>
      </c>
      <c r="B6" s="18"/>
      <c r="C6" s="19" t="n">
        <f aca="false">SUMIFS('Expense Log'!$M$4:$M$201,'Expense Log'!$B$4:$B$201,A6)</f>
        <v>0</v>
      </c>
      <c r="D6" s="19" t="n">
        <f aca="false">B6-C6</f>
        <v>0</v>
      </c>
      <c r="E6" s="20" t="n">
        <f aca="false">IFERROR(C6/B6,0)</f>
        <v>0</v>
      </c>
      <c r="F6" s="10"/>
    </row>
    <row r="7" customFormat="false" ht="15" hidden="false" customHeight="false" outlineLevel="0" collapsed="false">
      <c r="A7" s="17" t="s">
        <v>51</v>
      </c>
      <c r="B7" s="18"/>
      <c r="C7" s="19" t="n">
        <f aca="false">SUMIFS('Expense Log'!$M$4:$M$201,'Expense Log'!$B$4:$B$201,A7)</f>
        <v>0</v>
      </c>
      <c r="D7" s="19" t="n">
        <f aca="false">B7-C7</f>
        <v>0</v>
      </c>
      <c r="E7" s="20" t="n">
        <f aca="false">IFERROR(C7/B7,0)</f>
        <v>0</v>
      </c>
      <c r="F7" s="10"/>
    </row>
    <row r="8" customFormat="false" ht="15" hidden="false" customHeight="false" outlineLevel="0" collapsed="false">
      <c r="A8" s="17" t="s">
        <v>52</v>
      </c>
      <c r="B8" s="18"/>
      <c r="C8" s="19" t="n">
        <f aca="false">SUMIFS('Expense Log'!$M$4:$M$201,'Expense Log'!$B$4:$B$201,A8)</f>
        <v>0</v>
      </c>
      <c r="D8" s="19" t="n">
        <f aca="false">B8-C8</f>
        <v>0</v>
      </c>
      <c r="E8" s="20" t="n">
        <f aca="false">IFERROR(C8/B8,0)</f>
        <v>0</v>
      </c>
      <c r="F8" s="10"/>
    </row>
    <row r="9" customFormat="false" ht="15" hidden="false" customHeight="false" outlineLevel="0" collapsed="false">
      <c r="A9" s="17" t="s">
        <v>53</v>
      </c>
      <c r="B9" s="18"/>
      <c r="C9" s="19" t="n">
        <f aca="false">SUMIFS('Expense Log'!$M$4:$M$201,'Expense Log'!$B$4:$B$201,A9)</f>
        <v>0</v>
      </c>
      <c r="D9" s="19" t="n">
        <f aca="false">B9-C9</f>
        <v>0</v>
      </c>
      <c r="E9" s="20" t="n">
        <f aca="false">IFERROR(C9/B9,0)</f>
        <v>0</v>
      </c>
      <c r="F9" s="10"/>
    </row>
    <row r="10" customFormat="false" ht="15" hidden="false" customHeight="false" outlineLevel="0" collapsed="false">
      <c r="A10" s="17" t="s">
        <v>54</v>
      </c>
      <c r="B10" s="18"/>
      <c r="C10" s="19" t="n">
        <f aca="false">SUMIFS('Expense Log'!$M$4:$M$201,'Expense Log'!$B$4:$B$201,A10)</f>
        <v>0</v>
      </c>
      <c r="D10" s="19" t="n">
        <f aca="false">B10-C10</f>
        <v>0</v>
      </c>
      <c r="E10" s="20" t="n">
        <f aca="false">IFERROR(C10/B10,0)</f>
        <v>0</v>
      </c>
      <c r="F10" s="10"/>
    </row>
    <row r="11" customFormat="false" ht="15" hidden="false" customHeight="false" outlineLevel="0" collapsed="false">
      <c r="A11" s="17" t="s">
        <v>55</v>
      </c>
      <c r="B11" s="18"/>
      <c r="C11" s="19" t="n">
        <f aca="false">SUMIFS('Expense Log'!$M$4:$M$201,'Expense Log'!$B$4:$B$201,A11)</f>
        <v>0</v>
      </c>
      <c r="D11" s="19" t="n">
        <f aca="false">B11-C11</f>
        <v>0</v>
      </c>
      <c r="E11" s="20" t="n">
        <f aca="false">IFERROR(C11/B11,0)</f>
        <v>0</v>
      </c>
      <c r="F11" s="10"/>
    </row>
    <row r="12" customFormat="false" ht="15" hidden="false" customHeight="false" outlineLevel="0" collapsed="false">
      <c r="A12" s="17" t="s">
        <v>56</v>
      </c>
      <c r="B12" s="18"/>
      <c r="C12" s="19" t="n">
        <f aca="false">SUMIFS('Expense Log'!$M$4:$M$201,'Expense Log'!$B$4:$B$201,A12)</f>
        <v>0</v>
      </c>
      <c r="D12" s="19" t="n">
        <f aca="false">B12-C12</f>
        <v>0</v>
      </c>
      <c r="E12" s="20" t="n">
        <f aca="false">IFERROR(C12/B12,0)</f>
        <v>0</v>
      </c>
      <c r="F12" s="10"/>
    </row>
    <row r="13" customFormat="false" ht="15" hidden="false" customHeight="false" outlineLevel="0" collapsed="false">
      <c r="A13" s="17" t="s">
        <v>57</v>
      </c>
      <c r="B13" s="18"/>
      <c r="C13" s="19" t="n">
        <f aca="false">SUMIFS('Expense Log'!$M$4:$M$201,'Expense Log'!$B$4:$B$201,A13)</f>
        <v>0</v>
      </c>
      <c r="D13" s="19" t="n">
        <f aca="false">B13-C13</f>
        <v>0</v>
      </c>
      <c r="E13" s="20" t="n">
        <f aca="false">IFERROR(C13/B13,0)</f>
        <v>0</v>
      </c>
      <c r="F13" s="10"/>
    </row>
    <row r="14" customFormat="false" ht="15" hidden="false" customHeight="false" outlineLevel="0" collapsed="false">
      <c r="A14" s="17" t="s">
        <v>58</v>
      </c>
      <c r="B14" s="18"/>
      <c r="C14" s="19" t="n">
        <f aca="false">SUMIFS('Expense Log'!$M$4:$M$201,'Expense Log'!$B$4:$B$201,A14)</f>
        <v>0</v>
      </c>
      <c r="D14" s="19" t="n">
        <f aca="false">B14-C14</f>
        <v>0</v>
      </c>
      <c r="E14" s="20" t="n">
        <f aca="false">IFERROR(C14/B14,0)</f>
        <v>0</v>
      </c>
      <c r="F14" s="10"/>
    </row>
    <row r="15" customFormat="false" ht="15" hidden="false" customHeight="false" outlineLevel="0" collapsed="false">
      <c r="A15" s="21" t="s">
        <v>59</v>
      </c>
      <c r="B15" s="22" t="n">
        <f aca="false">SUM(B3:B14)</f>
        <v>0</v>
      </c>
      <c r="C15" s="22" t="n">
        <f aca="false">SUM(C3:C14)</f>
        <v>0</v>
      </c>
      <c r="D15" s="22" t="n">
        <f aca="false">SUM(D3:D14)</f>
        <v>0</v>
      </c>
      <c r="E15" s="23" t="n">
        <f aca="false">IFERROR(C15/B15,0)</f>
        <v>0</v>
      </c>
      <c r="F15" s="24"/>
    </row>
    <row r="17" customFormat="false" ht="15" hidden="false" customHeight="false" outlineLevel="0" collapsed="false">
      <c r="A17" s="25" t="s">
        <v>60</v>
      </c>
      <c r="B17" s="25"/>
      <c r="C17" s="25"/>
      <c r="D17" s="25"/>
      <c r="E17" s="25"/>
      <c r="F17" s="25"/>
    </row>
  </sheetData>
  <mergeCells count="2">
    <mergeCell ref="A1:F1"/>
    <mergeCell ref="A17:F17"/>
  </mergeCells>
  <conditionalFormatting sqref="D3:D14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E3:E14">
    <cfRule type="cellIs" priority="4" operator="greater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0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3" min="12" style="0" width="14"/>
    <col collapsed="false" customWidth="true" hidden="false" outlineLevel="0" max="14" min="14" style="0" width="16"/>
    <col collapsed="false" customWidth="true" hidden="false" outlineLevel="0" max="15" min="15" style="0" width="18"/>
    <col collapsed="false" customWidth="true" hidden="false" outlineLevel="0" max="16" min="16" style="0" width="22"/>
  </cols>
  <sheetData>
    <row r="1" customFormat="false" ht="17.35" hidden="false" customHeight="false" outlineLevel="0" collapsed="false">
      <c r="A1" s="15" t="s">
        <v>61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customFormat="false" ht="33.75" hidden="false" customHeight="true" outlineLevel="0" collapsed="false">
      <c r="A2" s="16" t="s">
        <v>62</v>
      </c>
      <c r="B2" s="16" t="s">
        <v>41</v>
      </c>
      <c r="C2" s="16" t="s">
        <v>63</v>
      </c>
      <c r="D2" s="16" t="s">
        <v>64</v>
      </c>
      <c r="E2" s="16" t="s">
        <v>65</v>
      </c>
      <c r="F2" s="16" t="s">
        <v>66</v>
      </c>
      <c r="G2" s="16" t="s">
        <v>67</v>
      </c>
      <c r="H2" s="16" t="s">
        <v>68</v>
      </c>
      <c r="I2" s="16" t="s">
        <v>69</v>
      </c>
      <c r="J2" s="16" t="s">
        <v>70</v>
      </c>
      <c r="K2" s="16" t="s">
        <v>71</v>
      </c>
      <c r="L2" s="16" t="s">
        <v>72</v>
      </c>
      <c r="M2" s="16" t="s">
        <v>73</v>
      </c>
      <c r="N2" s="16" t="s">
        <v>74</v>
      </c>
      <c r="O2" s="16" t="s">
        <v>75</v>
      </c>
      <c r="P2" s="16" t="s">
        <v>76</v>
      </c>
    </row>
    <row r="3" customFormat="false" ht="15" hidden="false" customHeight="false" outlineLevel="0" collapsed="false">
      <c r="A3" s="26" t="s">
        <v>77</v>
      </c>
      <c r="B3" s="27" t="s">
        <v>47</v>
      </c>
      <c r="C3" s="27" t="s">
        <v>78</v>
      </c>
      <c r="D3" s="27" t="s">
        <v>79</v>
      </c>
      <c r="E3" s="27" t="s">
        <v>80</v>
      </c>
      <c r="F3" s="27" t="s">
        <v>81</v>
      </c>
      <c r="G3" s="27" t="s">
        <v>82</v>
      </c>
      <c r="H3" s="27" t="s">
        <v>83</v>
      </c>
      <c r="I3" s="27" t="s">
        <v>9</v>
      </c>
      <c r="J3" s="28" t="n">
        <v>15000</v>
      </c>
      <c r="K3" s="29" t="n">
        <v>0.05</v>
      </c>
      <c r="L3" s="28" t="n">
        <f aca="false">J3*K3</f>
        <v>750</v>
      </c>
      <c r="M3" s="28" t="n">
        <f aca="false">J3+L3</f>
        <v>15750</v>
      </c>
      <c r="N3" s="27" t="s">
        <v>84</v>
      </c>
      <c r="O3" s="27" t="s">
        <v>47</v>
      </c>
      <c r="P3" s="27" t="s">
        <v>85</v>
      </c>
    </row>
    <row r="4" customFormat="false" ht="15" hidden="false" customHeight="false" outlineLevel="0" collapsed="false">
      <c r="A4" s="30"/>
      <c r="B4" s="10"/>
      <c r="C4" s="10"/>
      <c r="D4" s="10"/>
      <c r="E4" s="10"/>
      <c r="F4" s="10"/>
      <c r="G4" s="10"/>
      <c r="H4" s="10"/>
      <c r="I4" s="10"/>
      <c r="J4" s="18"/>
      <c r="K4" s="31"/>
      <c r="L4" s="19" t="str">
        <f aca="false">IF(J4="","",J4*K4)</f>
        <v/>
      </c>
      <c r="M4" s="19" t="str">
        <f aca="false">IF(J4="","",J4+L4)</f>
        <v/>
      </c>
      <c r="N4" s="10"/>
      <c r="O4" s="10"/>
      <c r="P4" s="10"/>
    </row>
    <row r="5" customFormat="false" ht="15" hidden="false" customHeight="false" outlineLevel="0" collapsed="false">
      <c r="A5" s="30"/>
      <c r="B5" s="10"/>
      <c r="C5" s="10"/>
      <c r="D5" s="10"/>
      <c r="E5" s="10"/>
      <c r="F5" s="10"/>
      <c r="G5" s="10"/>
      <c r="H5" s="10"/>
      <c r="I5" s="10"/>
      <c r="J5" s="18"/>
      <c r="K5" s="31"/>
      <c r="L5" s="19" t="str">
        <f aca="false">IF(J5="","",J5*K5)</f>
        <v/>
      </c>
      <c r="M5" s="19" t="str">
        <f aca="false">IF(J5="","",J5+L5)</f>
        <v/>
      </c>
      <c r="N5" s="10"/>
      <c r="O5" s="10"/>
      <c r="P5" s="10"/>
    </row>
    <row r="6" customFormat="false" ht="15" hidden="false" customHeight="false" outlineLevel="0" collapsed="false">
      <c r="A6" s="30"/>
      <c r="B6" s="10"/>
      <c r="C6" s="10"/>
      <c r="D6" s="10"/>
      <c r="E6" s="10"/>
      <c r="F6" s="10"/>
      <c r="G6" s="10"/>
      <c r="H6" s="10"/>
      <c r="I6" s="10"/>
      <c r="J6" s="18"/>
      <c r="K6" s="31"/>
      <c r="L6" s="19" t="str">
        <f aca="false">IF(J6="","",J6*K6)</f>
        <v/>
      </c>
      <c r="M6" s="19" t="str">
        <f aca="false">IF(J6="","",J6+L6)</f>
        <v/>
      </c>
      <c r="N6" s="10"/>
      <c r="O6" s="10"/>
      <c r="P6" s="10"/>
    </row>
    <row r="7" customFormat="false" ht="15" hidden="false" customHeight="false" outlineLevel="0" collapsed="false">
      <c r="A7" s="30"/>
      <c r="B7" s="10"/>
      <c r="C7" s="10"/>
      <c r="D7" s="10"/>
      <c r="E7" s="10"/>
      <c r="F7" s="10"/>
      <c r="G7" s="10"/>
      <c r="H7" s="10"/>
      <c r="I7" s="10"/>
      <c r="J7" s="18"/>
      <c r="K7" s="31"/>
      <c r="L7" s="19" t="str">
        <f aca="false">IF(J7="","",J7*K7)</f>
        <v/>
      </c>
      <c r="M7" s="19" t="str">
        <f aca="false">IF(J7="","",J7+L7)</f>
        <v/>
      </c>
      <c r="N7" s="10"/>
      <c r="O7" s="10"/>
      <c r="P7" s="10"/>
    </row>
    <row r="8" customFormat="false" ht="15" hidden="false" customHeight="false" outlineLevel="0" collapsed="false">
      <c r="A8" s="30"/>
      <c r="B8" s="10"/>
      <c r="C8" s="10"/>
      <c r="D8" s="10"/>
      <c r="E8" s="10"/>
      <c r="F8" s="10"/>
      <c r="G8" s="10"/>
      <c r="H8" s="10"/>
      <c r="I8" s="10"/>
      <c r="J8" s="18"/>
      <c r="K8" s="31"/>
      <c r="L8" s="19" t="str">
        <f aca="false">IF(J8="","",J8*K8)</f>
        <v/>
      </c>
      <c r="M8" s="19" t="str">
        <f aca="false">IF(J8="","",J8+L8)</f>
        <v/>
      </c>
      <c r="N8" s="10"/>
      <c r="O8" s="10"/>
      <c r="P8" s="10"/>
    </row>
    <row r="9" customFormat="false" ht="15" hidden="false" customHeight="false" outlineLevel="0" collapsed="false">
      <c r="A9" s="30"/>
      <c r="B9" s="10"/>
      <c r="C9" s="10"/>
      <c r="D9" s="10"/>
      <c r="E9" s="10"/>
      <c r="F9" s="10"/>
      <c r="G9" s="10"/>
      <c r="H9" s="10"/>
      <c r="I9" s="10"/>
      <c r="J9" s="18"/>
      <c r="K9" s="31"/>
      <c r="L9" s="19" t="str">
        <f aca="false">IF(J9="","",J9*K9)</f>
        <v/>
      </c>
      <c r="M9" s="19" t="str">
        <f aca="false">IF(J9="","",J9+L9)</f>
        <v/>
      </c>
      <c r="N9" s="10"/>
      <c r="O9" s="10"/>
      <c r="P9" s="10"/>
    </row>
    <row r="10" customFormat="false" ht="15" hidden="false" customHeight="false" outlineLevel="0" collapsed="false">
      <c r="A10" s="30"/>
      <c r="B10" s="10"/>
      <c r="C10" s="10"/>
      <c r="D10" s="10"/>
      <c r="E10" s="10"/>
      <c r="F10" s="10"/>
      <c r="G10" s="10"/>
      <c r="H10" s="10"/>
      <c r="I10" s="10"/>
      <c r="J10" s="18"/>
      <c r="K10" s="31"/>
      <c r="L10" s="19" t="str">
        <f aca="false">IF(J10="","",J10*K10)</f>
        <v/>
      </c>
      <c r="M10" s="19" t="str">
        <f aca="false">IF(J10="","",J10+L10)</f>
        <v/>
      </c>
      <c r="N10" s="10"/>
      <c r="O10" s="10"/>
      <c r="P10" s="10"/>
    </row>
    <row r="11" customFormat="false" ht="15" hidden="false" customHeight="false" outlineLevel="0" collapsed="false">
      <c r="A11" s="30"/>
      <c r="B11" s="10"/>
      <c r="C11" s="10"/>
      <c r="D11" s="10"/>
      <c r="E11" s="10"/>
      <c r="F11" s="10"/>
      <c r="G11" s="10"/>
      <c r="H11" s="10"/>
      <c r="I11" s="10"/>
      <c r="J11" s="18"/>
      <c r="K11" s="31"/>
      <c r="L11" s="19" t="str">
        <f aca="false">IF(J11="","",J11*K11)</f>
        <v/>
      </c>
      <c r="M11" s="19" t="str">
        <f aca="false">IF(J11="","",J11+L11)</f>
        <v/>
      </c>
      <c r="N11" s="10"/>
      <c r="O11" s="10"/>
      <c r="P11" s="10"/>
    </row>
    <row r="12" customFormat="false" ht="15" hidden="false" customHeight="false" outlineLevel="0" collapsed="false">
      <c r="A12" s="30"/>
      <c r="B12" s="10"/>
      <c r="C12" s="10"/>
      <c r="D12" s="10"/>
      <c r="E12" s="10"/>
      <c r="F12" s="10"/>
      <c r="G12" s="10"/>
      <c r="H12" s="10"/>
      <c r="I12" s="10"/>
      <c r="J12" s="18"/>
      <c r="K12" s="31"/>
      <c r="L12" s="19" t="str">
        <f aca="false">IF(J12="","",J12*K12)</f>
        <v/>
      </c>
      <c r="M12" s="19" t="str">
        <f aca="false">IF(J12="","",J12+L12)</f>
        <v/>
      </c>
      <c r="N12" s="10"/>
      <c r="O12" s="10"/>
      <c r="P12" s="10"/>
    </row>
    <row r="13" customFormat="false" ht="15" hidden="false" customHeight="false" outlineLevel="0" collapsed="false">
      <c r="A13" s="30"/>
      <c r="B13" s="10"/>
      <c r="C13" s="10"/>
      <c r="D13" s="10"/>
      <c r="E13" s="10"/>
      <c r="F13" s="10"/>
      <c r="G13" s="10"/>
      <c r="H13" s="10"/>
      <c r="I13" s="10"/>
      <c r="J13" s="18"/>
      <c r="K13" s="31"/>
      <c r="L13" s="19" t="str">
        <f aca="false">IF(J13="","",J13*K13)</f>
        <v/>
      </c>
      <c r="M13" s="19" t="str">
        <f aca="false">IF(J13="","",J13+L13)</f>
        <v/>
      </c>
      <c r="N13" s="10"/>
      <c r="O13" s="10"/>
      <c r="P13" s="10"/>
    </row>
    <row r="14" customFormat="false" ht="15" hidden="false" customHeight="false" outlineLevel="0" collapsed="false">
      <c r="A14" s="30"/>
      <c r="B14" s="10"/>
      <c r="C14" s="10"/>
      <c r="D14" s="10"/>
      <c r="E14" s="10"/>
      <c r="F14" s="10"/>
      <c r="G14" s="10"/>
      <c r="H14" s="10"/>
      <c r="I14" s="10"/>
      <c r="J14" s="18"/>
      <c r="K14" s="31"/>
      <c r="L14" s="19" t="str">
        <f aca="false">IF(J14="","",J14*K14)</f>
        <v/>
      </c>
      <c r="M14" s="19" t="str">
        <f aca="false">IF(J14="","",J14+L14)</f>
        <v/>
      </c>
      <c r="N14" s="10"/>
      <c r="O14" s="10"/>
      <c r="P14" s="10"/>
    </row>
    <row r="15" customFormat="false" ht="15" hidden="false" customHeight="false" outlineLevel="0" collapsed="false">
      <c r="A15" s="30"/>
      <c r="B15" s="10"/>
      <c r="C15" s="10"/>
      <c r="D15" s="10"/>
      <c r="E15" s="10"/>
      <c r="F15" s="10"/>
      <c r="G15" s="10"/>
      <c r="H15" s="10"/>
      <c r="I15" s="10"/>
      <c r="J15" s="18"/>
      <c r="K15" s="31"/>
      <c r="L15" s="19" t="str">
        <f aca="false">IF(J15="","",J15*K15)</f>
        <v/>
      </c>
      <c r="M15" s="19" t="str">
        <f aca="false">IF(J15="","",J15+L15)</f>
        <v/>
      </c>
      <c r="N15" s="10"/>
      <c r="O15" s="10"/>
      <c r="P15" s="10"/>
    </row>
    <row r="16" customFormat="false" ht="15" hidden="false" customHeight="false" outlineLevel="0" collapsed="false">
      <c r="A16" s="30"/>
      <c r="B16" s="10"/>
      <c r="C16" s="10"/>
      <c r="D16" s="10"/>
      <c r="E16" s="10"/>
      <c r="F16" s="10"/>
      <c r="G16" s="10"/>
      <c r="H16" s="10"/>
      <c r="I16" s="10"/>
      <c r="J16" s="18"/>
      <c r="K16" s="31"/>
      <c r="L16" s="19" t="str">
        <f aca="false">IF(J16="","",J16*K16)</f>
        <v/>
      </c>
      <c r="M16" s="19" t="str">
        <f aca="false">IF(J16="","",J16+L16)</f>
        <v/>
      </c>
      <c r="N16" s="10"/>
      <c r="O16" s="10"/>
      <c r="P16" s="10"/>
    </row>
    <row r="17" customFormat="false" ht="15" hidden="false" customHeight="false" outlineLevel="0" collapsed="false">
      <c r="A17" s="30"/>
      <c r="B17" s="10"/>
      <c r="C17" s="10"/>
      <c r="D17" s="10"/>
      <c r="E17" s="10"/>
      <c r="F17" s="10"/>
      <c r="G17" s="10"/>
      <c r="H17" s="10"/>
      <c r="I17" s="10"/>
      <c r="J17" s="18"/>
      <c r="K17" s="31"/>
      <c r="L17" s="19" t="str">
        <f aca="false">IF(J17="","",J17*K17)</f>
        <v/>
      </c>
      <c r="M17" s="19" t="str">
        <f aca="false">IF(J17="","",J17+L17)</f>
        <v/>
      </c>
      <c r="N17" s="10"/>
      <c r="O17" s="10"/>
      <c r="P17" s="10"/>
    </row>
    <row r="18" customFormat="false" ht="15" hidden="false" customHeight="false" outlineLevel="0" collapsed="false">
      <c r="A18" s="30"/>
      <c r="B18" s="10"/>
      <c r="C18" s="10"/>
      <c r="D18" s="10"/>
      <c r="E18" s="10"/>
      <c r="F18" s="10"/>
      <c r="G18" s="10"/>
      <c r="H18" s="10"/>
      <c r="I18" s="10"/>
      <c r="J18" s="18"/>
      <c r="K18" s="31"/>
      <c r="L18" s="19" t="str">
        <f aca="false">IF(J18="","",J18*K18)</f>
        <v/>
      </c>
      <c r="M18" s="19" t="str">
        <f aca="false">IF(J18="","",J18+L18)</f>
        <v/>
      </c>
      <c r="N18" s="10"/>
      <c r="O18" s="10"/>
      <c r="P18" s="10"/>
    </row>
    <row r="19" customFormat="false" ht="15" hidden="false" customHeight="false" outlineLevel="0" collapsed="false">
      <c r="A19" s="30"/>
      <c r="B19" s="10"/>
      <c r="C19" s="10"/>
      <c r="D19" s="10"/>
      <c r="E19" s="10"/>
      <c r="F19" s="10"/>
      <c r="G19" s="10"/>
      <c r="H19" s="10"/>
      <c r="I19" s="10"/>
      <c r="J19" s="18"/>
      <c r="K19" s="31"/>
      <c r="L19" s="19" t="str">
        <f aca="false">IF(J19="","",J19*K19)</f>
        <v/>
      </c>
      <c r="M19" s="19" t="str">
        <f aca="false">IF(J19="","",J19+L19)</f>
        <v/>
      </c>
      <c r="N19" s="10"/>
      <c r="O19" s="10"/>
      <c r="P19" s="10"/>
    </row>
    <row r="20" customFormat="false" ht="15" hidden="false" customHeight="false" outlineLevel="0" collapsed="false">
      <c r="A20" s="30"/>
      <c r="B20" s="10"/>
      <c r="C20" s="10"/>
      <c r="D20" s="10"/>
      <c r="E20" s="10"/>
      <c r="F20" s="10"/>
      <c r="G20" s="10"/>
      <c r="H20" s="10"/>
      <c r="I20" s="10"/>
      <c r="J20" s="18"/>
      <c r="K20" s="31"/>
      <c r="L20" s="19" t="str">
        <f aca="false">IF(J20="","",J20*K20)</f>
        <v/>
      </c>
      <c r="M20" s="19" t="str">
        <f aca="false">IF(J20="","",J20+L20)</f>
        <v/>
      </c>
      <c r="N20" s="10"/>
      <c r="O20" s="10"/>
      <c r="P20" s="10"/>
    </row>
    <row r="21" customFormat="false" ht="15" hidden="false" customHeight="false" outlineLevel="0" collapsed="false">
      <c r="A21" s="30"/>
      <c r="B21" s="10"/>
      <c r="C21" s="10"/>
      <c r="D21" s="10"/>
      <c r="E21" s="10"/>
      <c r="F21" s="10"/>
      <c r="G21" s="10"/>
      <c r="H21" s="10"/>
      <c r="I21" s="10"/>
      <c r="J21" s="18"/>
      <c r="K21" s="31"/>
      <c r="L21" s="19" t="str">
        <f aca="false">IF(J21="","",J21*K21)</f>
        <v/>
      </c>
      <c r="M21" s="19" t="str">
        <f aca="false">IF(J21="","",J21+L21)</f>
        <v/>
      </c>
      <c r="N21" s="10"/>
      <c r="O21" s="10"/>
      <c r="P21" s="10"/>
    </row>
    <row r="22" customFormat="false" ht="15" hidden="false" customHeight="false" outlineLevel="0" collapsed="false">
      <c r="A22" s="30"/>
      <c r="B22" s="10"/>
      <c r="C22" s="10"/>
      <c r="D22" s="10"/>
      <c r="E22" s="10"/>
      <c r="F22" s="10"/>
      <c r="G22" s="10"/>
      <c r="H22" s="10"/>
      <c r="I22" s="10"/>
      <c r="J22" s="18"/>
      <c r="K22" s="31"/>
      <c r="L22" s="19" t="str">
        <f aca="false">IF(J22="","",J22*K22)</f>
        <v/>
      </c>
      <c r="M22" s="19" t="str">
        <f aca="false">IF(J22="","",J22+L22)</f>
        <v/>
      </c>
      <c r="N22" s="10"/>
      <c r="O22" s="10"/>
      <c r="P22" s="10"/>
    </row>
    <row r="23" customFormat="false" ht="15" hidden="false" customHeight="false" outlineLevel="0" collapsed="false">
      <c r="A23" s="30"/>
      <c r="B23" s="10"/>
      <c r="C23" s="10"/>
      <c r="D23" s="10"/>
      <c r="E23" s="10"/>
      <c r="F23" s="10"/>
      <c r="G23" s="10"/>
      <c r="H23" s="10"/>
      <c r="I23" s="10"/>
      <c r="J23" s="18"/>
      <c r="K23" s="31"/>
      <c r="L23" s="19" t="str">
        <f aca="false">IF(J23="","",J23*K23)</f>
        <v/>
      </c>
      <c r="M23" s="19" t="str">
        <f aca="false">IF(J23="","",J23+L23)</f>
        <v/>
      </c>
      <c r="N23" s="10"/>
      <c r="O23" s="10"/>
      <c r="P23" s="10"/>
    </row>
    <row r="24" customFormat="false" ht="15" hidden="false" customHeight="false" outlineLevel="0" collapsed="false">
      <c r="A24" s="30"/>
      <c r="B24" s="10"/>
      <c r="C24" s="10"/>
      <c r="D24" s="10"/>
      <c r="E24" s="10"/>
      <c r="F24" s="10"/>
      <c r="G24" s="10"/>
      <c r="H24" s="10"/>
      <c r="I24" s="10"/>
      <c r="J24" s="18"/>
      <c r="K24" s="31"/>
      <c r="L24" s="19" t="str">
        <f aca="false">IF(J24="","",J24*K24)</f>
        <v/>
      </c>
      <c r="M24" s="19" t="str">
        <f aca="false">IF(J24="","",J24+L24)</f>
        <v/>
      </c>
      <c r="N24" s="10"/>
      <c r="O24" s="10"/>
      <c r="P24" s="10"/>
    </row>
    <row r="25" customFormat="false" ht="15" hidden="false" customHeight="false" outlineLevel="0" collapsed="false">
      <c r="A25" s="30"/>
      <c r="B25" s="10"/>
      <c r="C25" s="10"/>
      <c r="D25" s="10"/>
      <c r="E25" s="10"/>
      <c r="F25" s="10"/>
      <c r="G25" s="10"/>
      <c r="H25" s="10"/>
      <c r="I25" s="10"/>
      <c r="J25" s="18"/>
      <c r="K25" s="31"/>
      <c r="L25" s="19" t="str">
        <f aca="false">IF(J25="","",J25*K25)</f>
        <v/>
      </c>
      <c r="M25" s="19" t="str">
        <f aca="false">IF(J25="","",J25+L25)</f>
        <v/>
      </c>
      <c r="N25" s="10"/>
      <c r="O25" s="10"/>
      <c r="P25" s="10"/>
    </row>
    <row r="26" customFormat="false" ht="15" hidden="false" customHeight="false" outlineLevel="0" collapsed="false">
      <c r="A26" s="30"/>
      <c r="B26" s="10"/>
      <c r="C26" s="10"/>
      <c r="D26" s="10"/>
      <c r="E26" s="10"/>
      <c r="F26" s="10"/>
      <c r="G26" s="10"/>
      <c r="H26" s="10"/>
      <c r="I26" s="10"/>
      <c r="J26" s="18"/>
      <c r="K26" s="31"/>
      <c r="L26" s="19" t="str">
        <f aca="false">IF(J26="","",J26*K26)</f>
        <v/>
      </c>
      <c r="M26" s="19" t="str">
        <f aca="false">IF(J26="","",J26+L26)</f>
        <v/>
      </c>
      <c r="N26" s="10"/>
      <c r="O26" s="10"/>
      <c r="P26" s="10"/>
    </row>
    <row r="27" customFormat="false" ht="15" hidden="false" customHeight="false" outlineLevel="0" collapsed="false">
      <c r="A27" s="30"/>
      <c r="B27" s="10"/>
      <c r="C27" s="10"/>
      <c r="D27" s="10"/>
      <c r="E27" s="10"/>
      <c r="F27" s="10"/>
      <c r="G27" s="10"/>
      <c r="H27" s="10"/>
      <c r="I27" s="10"/>
      <c r="J27" s="18"/>
      <c r="K27" s="31"/>
      <c r="L27" s="19" t="str">
        <f aca="false">IF(J27="","",J27*K27)</f>
        <v/>
      </c>
      <c r="M27" s="19" t="str">
        <f aca="false">IF(J27="","",J27+L27)</f>
        <v/>
      </c>
      <c r="N27" s="10"/>
      <c r="O27" s="10"/>
      <c r="P27" s="10"/>
    </row>
    <row r="28" customFormat="false" ht="15" hidden="false" customHeight="false" outlineLevel="0" collapsed="false">
      <c r="A28" s="30"/>
      <c r="B28" s="10"/>
      <c r="C28" s="10"/>
      <c r="D28" s="10"/>
      <c r="E28" s="10"/>
      <c r="F28" s="10"/>
      <c r="G28" s="10"/>
      <c r="H28" s="10"/>
      <c r="I28" s="10"/>
      <c r="J28" s="18"/>
      <c r="K28" s="31"/>
      <c r="L28" s="19" t="str">
        <f aca="false">IF(J28="","",J28*K28)</f>
        <v/>
      </c>
      <c r="M28" s="19" t="str">
        <f aca="false">IF(J28="","",J28+L28)</f>
        <v/>
      </c>
      <c r="N28" s="10"/>
      <c r="O28" s="10"/>
      <c r="P28" s="10"/>
    </row>
    <row r="29" customFormat="false" ht="15" hidden="false" customHeight="false" outlineLevel="0" collapsed="false">
      <c r="A29" s="30"/>
      <c r="B29" s="10"/>
      <c r="C29" s="10"/>
      <c r="D29" s="10"/>
      <c r="E29" s="10"/>
      <c r="F29" s="10"/>
      <c r="G29" s="10"/>
      <c r="H29" s="10"/>
      <c r="I29" s="10"/>
      <c r="J29" s="18"/>
      <c r="K29" s="31"/>
      <c r="L29" s="19" t="str">
        <f aca="false">IF(J29="","",J29*K29)</f>
        <v/>
      </c>
      <c r="M29" s="19" t="str">
        <f aca="false">IF(J29="","",J29+L29)</f>
        <v/>
      </c>
      <c r="N29" s="10"/>
      <c r="O29" s="10"/>
      <c r="P29" s="10"/>
    </row>
    <row r="30" customFormat="false" ht="15" hidden="false" customHeight="false" outlineLevel="0" collapsed="false">
      <c r="A30" s="30"/>
      <c r="B30" s="10"/>
      <c r="C30" s="10"/>
      <c r="D30" s="10"/>
      <c r="E30" s="10"/>
      <c r="F30" s="10"/>
      <c r="G30" s="10"/>
      <c r="H30" s="10"/>
      <c r="I30" s="10"/>
      <c r="J30" s="18"/>
      <c r="K30" s="31"/>
      <c r="L30" s="19" t="str">
        <f aca="false">IF(J30="","",J30*K30)</f>
        <v/>
      </c>
      <c r="M30" s="19" t="str">
        <f aca="false">IF(J30="","",J30+L30)</f>
        <v/>
      </c>
      <c r="N30" s="10"/>
      <c r="O30" s="10"/>
      <c r="P30" s="10"/>
    </row>
    <row r="31" customFormat="false" ht="15" hidden="false" customHeight="false" outlineLevel="0" collapsed="false">
      <c r="A31" s="30"/>
      <c r="B31" s="10"/>
      <c r="C31" s="10"/>
      <c r="D31" s="10"/>
      <c r="E31" s="10"/>
      <c r="F31" s="10"/>
      <c r="G31" s="10"/>
      <c r="H31" s="10"/>
      <c r="I31" s="10"/>
      <c r="J31" s="18"/>
      <c r="K31" s="31"/>
      <c r="L31" s="19" t="str">
        <f aca="false">IF(J31="","",J31*K31)</f>
        <v/>
      </c>
      <c r="M31" s="19" t="str">
        <f aca="false">IF(J31="","",J31+L31)</f>
        <v/>
      </c>
      <c r="N31" s="10"/>
      <c r="O31" s="10"/>
      <c r="P31" s="10"/>
    </row>
    <row r="32" customFormat="false" ht="15" hidden="false" customHeight="false" outlineLevel="0" collapsed="false">
      <c r="A32" s="30"/>
      <c r="B32" s="10"/>
      <c r="C32" s="10"/>
      <c r="D32" s="10"/>
      <c r="E32" s="10"/>
      <c r="F32" s="10"/>
      <c r="G32" s="10"/>
      <c r="H32" s="10"/>
      <c r="I32" s="10"/>
      <c r="J32" s="18"/>
      <c r="K32" s="31"/>
      <c r="L32" s="19" t="str">
        <f aca="false">IF(J32="","",J32*K32)</f>
        <v/>
      </c>
      <c r="M32" s="19" t="str">
        <f aca="false">IF(J32="","",J32+L32)</f>
        <v/>
      </c>
      <c r="N32" s="10"/>
      <c r="O32" s="10"/>
      <c r="P32" s="10"/>
    </row>
    <row r="33" customFormat="false" ht="15" hidden="false" customHeight="false" outlineLevel="0" collapsed="false">
      <c r="A33" s="30"/>
      <c r="B33" s="10"/>
      <c r="C33" s="10"/>
      <c r="D33" s="10"/>
      <c r="E33" s="10"/>
      <c r="F33" s="10"/>
      <c r="G33" s="10"/>
      <c r="H33" s="10"/>
      <c r="I33" s="10"/>
      <c r="J33" s="18"/>
      <c r="K33" s="31"/>
      <c r="L33" s="19" t="str">
        <f aca="false">IF(J33="","",J33*K33)</f>
        <v/>
      </c>
      <c r="M33" s="19" t="str">
        <f aca="false">IF(J33="","",J33+L33)</f>
        <v/>
      </c>
      <c r="N33" s="10"/>
      <c r="O33" s="10"/>
      <c r="P33" s="10"/>
    </row>
    <row r="34" customFormat="false" ht="15" hidden="false" customHeight="false" outlineLevel="0" collapsed="false">
      <c r="A34" s="30"/>
      <c r="B34" s="10"/>
      <c r="C34" s="10"/>
      <c r="D34" s="10"/>
      <c r="E34" s="10"/>
      <c r="F34" s="10"/>
      <c r="G34" s="10"/>
      <c r="H34" s="10"/>
      <c r="I34" s="10"/>
      <c r="J34" s="18"/>
      <c r="K34" s="31"/>
      <c r="L34" s="19" t="str">
        <f aca="false">IF(J34="","",J34*K34)</f>
        <v/>
      </c>
      <c r="M34" s="19" t="str">
        <f aca="false">IF(J34="","",J34+L34)</f>
        <v/>
      </c>
      <c r="N34" s="10"/>
      <c r="O34" s="10"/>
      <c r="P34" s="10"/>
    </row>
    <row r="35" customFormat="false" ht="15" hidden="false" customHeight="false" outlineLevel="0" collapsed="false">
      <c r="A35" s="30"/>
      <c r="B35" s="10"/>
      <c r="C35" s="10"/>
      <c r="D35" s="10"/>
      <c r="E35" s="10"/>
      <c r="F35" s="10"/>
      <c r="G35" s="10"/>
      <c r="H35" s="10"/>
      <c r="I35" s="10"/>
      <c r="J35" s="18"/>
      <c r="K35" s="31"/>
      <c r="L35" s="19" t="str">
        <f aca="false">IF(J35="","",J35*K35)</f>
        <v/>
      </c>
      <c r="M35" s="19" t="str">
        <f aca="false">IF(J35="","",J35+L35)</f>
        <v/>
      </c>
      <c r="N35" s="10"/>
      <c r="O35" s="10"/>
      <c r="P35" s="10"/>
    </row>
    <row r="36" customFormat="false" ht="15" hidden="false" customHeight="false" outlineLevel="0" collapsed="false">
      <c r="A36" s="30"/>
      <c r="B36" s="10"/>
      <c r="C36" s="10"/>
      <c r="D36" s="10"/>
      <c r="E36" s="10"/>
      <c r="F36" s="10"/>
      <c r="G36" s="10"/>
      <c r="H36" s="10"/>
      <c r="I36" s="10"/>
      <c r="J36" s="18"/>
      <c r="K36" s="31"/>
      <c r="L36" s="19" t="str">
        <f aca="false">IF(J36="","",J36*K36)</f>
        <v/>
      </c>
      <c r="M36" s="19" t="str">
        <f aca="false">IF(J36="","",J36+L36)</f>
        <v/>
      </c>
      <c r="N36" s="10"/>
      <c r="O36" s="10"/>
      <c r="P36" s="10"/>
    </row>
    <row r="37" customFormat="false" ht="15" hidden="false" customHeight="false" outlineLevel="0" collapsed="false">
      <c r="A37" s="30"/>
      <c r="B37" s="10"/>
      <c r="C37" s="10"/>
      <c r="D37" s="10"/>
      <c r="E37" s="10"/>
      <c r="F37" s="10"/>
      <c r="G37" s="10"/>
      <c r="H37" s="10"/>
      <c r="I37" s="10"/>
      <c r="J37" s="18"/>
      <c r="K37" s="31"/>
      <c r="L37" s="19" t="str">
        <f aca="false">IF(J37="","",J37*K37)</f>
        <v/>
      </c>
      <c r="M37" s="19" t="str">
        <f aca="false">IF(J37="","",J37+L37)</f>
        <v/>
      </c>
      <c r="N37" s="10"/>
      <c r="O37" s="10"/>
      <c r="P37" s="10"/>
    </row>
    <row r="38" customFormat="false" ht="15" hidden="false" customHeight="false" outlineLevel="0" collapsed="false">
      <c r="A38" s="30"/>
      <c r="B38" s="10"/>
      <c r="C38" s="10"/>
      <c r="D38" s="10"/>
      <c r="E38" s="10"/>
      <c r="F38" s="10"/>
      <c r="G38" s="10"/>
      <c r="H38" s="10"/>
      <c r="I38" s="10"/>
      <c r="J38" s="18"/>
      <c r="K38" s="31"/>
      <c r="L38" s="19" t="str">
        <f aca="false">IF(J38="","",J38*K38)</f>
        <v/>
      </c>
      <c r="M38" s="19" t="str">
        <f aca="false">IF(J38="","",J38+L38)</f>
        <v/>
      </c>
      <c r="N38" s="10"/>
      <c r="O38" s="10"/>
      <c r="P38" s="10"/>
    </row>
    <row r="39" customFormat="false" ht="15" hidden="false" customHeight="false" outlineLevel="0" collapsed="false">
      <c r="A39" s="30"/>
      <c r="B39" s="10"/>
      <c r="C39" s="10"/>
      <c r="D39" s="10"/>
      <c r="E39" s="10"/>
      <c r="F39" s="10"/>
      <c r="G39" s="10"/>
      <c r="H39" s="10"/>
      <c r="I39" s="10"/>
      <c r="J39" s="18"/>
      <c r="K39" s="31"/>
      <c r="L39" s="19" t="str">
        <f aca="false">IF(J39="","",J39*K39)</f>
        <v/>
      </c>
      <c r="M39" s="19" t="str">
        <f aca="false">IF(J39="","",J39+L39)</f>
        <v/>
      </c>
      <c r="N39" s="10"/>
      <c r="O39" s="10"/>
      <c r="P39" s="10"/>
    </row>
    <row r="40" customFormat="false" ht="15" hidden="false" customHeight="false" outlineLevel="0" collapsed="false">
      <c r="A40" s="30"/>
      <c r="B40" s="10"/>
      <c r="C40" s="10"/>
      <c r="D40" s="10"/>
      <c r="E40" s="10"/>
      <c r="F40" s="10"/>
      <c r="G40" s="10"/>
      <c r="H40" s="10"/>
      <c r="I40" s="10"/>
      <c r="J40" s="18"/>
      <c r="K40" s="31"/>
      <c r="L40" s="19" t="str">
        <f aca="false">IF(J40="","",J40*K40)</f>
        <v/>
      </c>
      <c r="M40" s="19" t="str">
        <f aca="false">IF(J40="","",J40+L40)</f>
        <v/>
      </c>
      <c r="N40" s="10"/>
      <c r="O40" s="10"/>
      <c r="P40" s="10"/>
    </row>
    <row r="41" customFormat="false" ht="15" hidden="false" customHeight="false" outlineLevel="0" collapsed="false">
      <c r="A41" s="30"/>
      <c r="B41" s="10"/>
      <c r="C41" s="10"/>
      <c r="D41" s="10"/>
      <c r="E41" s="10"/>
      <c r="F41" s="10"/>
      <c r="G41" s="10"/>
      <c r="H41" s="10"/>
      <c r="I41" s="10"/>
      <c r="J41" s="18"/>
      <c r="K41" s="31"/>
      <c r="L41" s="19" t="str">
        <f aca="false">IF(J41="","",J41*K41)</f>
        <v/>
      </c>
      <c r="M41" s="19" t="str">
        <f aca="false">IF(J41="","",J41+L41)</f>
        <v/>
      </c>
      <c r="N41" s="10"/>
      <c r="O41" s="10"/>
      <c r="P41" s="10"/>
    </row>
    <row r="42" customFormat="false" ht="15" hidden="false" customHeight="false" outlineLevel="0" collapsed="false">
      <c r="A42" s="30"/>
      <c r="B42" s="10"/>
      <c r="C42" s="10"/>
      <c r="D42" s="10"/>
      <c r="E42" s="10"/>
      <c r="F42" s="10"/>
      <c r="G42" s="10"/>
      <c r="H42" s="10"/>
      <c r="I42" s="10"/>
      <c r="J42" s="18"/>
      <c r="K42" s="31"/>
      <c r="L42" s="19" t="str">
        <f aca="false">IF(J42="","",J42*K42)</f>
        <v/>
      </c>
      <c r="M42" s="19" t="str">
        <f aca="false">IF(J42="","",J42+L42)</f>
        <v/>
      </c>
      <c r="N42" s="10"/>
      <c r="O42" s="10"/>
      <c r="P42" s="10"/>
    </row>
    <row r="43" customFormat="false" ht="15" hidden="false" customHeight="false" outlineLevel="0" collapsed="false">
      <c r="A43" s="30"/>
      <c r="B43" s="10"/>
      <c r="C43" s="10"/>
      <c r="D43" s="10"/>
      <c r="E43" s="10"/>
      <c r="F43" s="10"/>
      <c r="G43" s="10"/>
      <c r="H43" s="10"/>
      <c r="I43" s="10"/>
      <c r="J43" s="18"/>
      <c r="K43" s="31"/>
      <c r="L43" s="19" t="str">
        <f aca="false">IF(J43="","",J43*K43)</f>
        <v/>
      </c>
      <c r="M43" s="19" t="str">
        <f aca="false">IF(J43="","",J43+L43)</f>
        <v/>
      </c>
      <c r="N43" s="10"/>
      <c r="O43" s="10"/>
      <c r="P43" s="10"/>
    </row>
    <row r="44" customFormat="false" ht="15" hidden="false" customHeight="false" outlineLevel="0" collapsed="false">
      <c r="A44" s="30"/>
      <c r="B44" s="10"/>
      <c r="C44" s="10"/>
      <c r="D44" s="10"/>
      <c r="E44" s="10"/>
      <c r="F44" s="10"/>
      <c r="G44" s="10"/>
      <c r="H44" s="10"/>
      <c r="I44" s="10"/>
      <c r="J44" s="18"/>
      <c r="K44" s="31"/>
      <c r="L44" s="19" t="str">
        <f aca="false">IF(J44="","",J44*K44)</f>
        <v/>
      </c>
      <c r="M44" s="19" t="str">
        <f aca="false">IF(J44="","",J44+L44)</f>
        <v/>
      </c>
      <c r="N44" s="10"/>
      <c r="O44" s="10"/>
      <c r="P44" s="10"/>
    </row>
    <row r="45" customFormat="false" ht="15" hidden="false" customHeight="false" outlineLevel="0" collapsed="false">
      <c r="A45" s="30"/>
      <c r="B45" s="10"/>
      <c r="C45" s="10"/>
      <c r="D45" s="10"/>
      <c r="E45" s="10"/>
      <c r="F45" s="10"/>
      <c r="G45" s="10"/>
      <c r="H45" s="10"/>
      <c r="I45" s="10"/>
      <c r="J45" s="18"/>
      <c r="K45" s="31"/>
      <c r="L45" s="19" t="str">
        <f aca="false">IF(J45="","",J45*K45)</f>
        <v/>
      </c>
      <c r="M45" s="19" t="str">
        <f aca="false">IF(J45="","",J45+L45)</f>
        <v/>
      </c>
      <c r="N45" s="10"/>
      <c r="O45" s="10"/>
      <c r="P45" s="10"/>
    </row>
    <row r="46" customFormat="false" ht="15" hidden="false" customHeight="false" outlineLevel="0" collapsed="false">
      <c r="A46" s="30"/>
      <c r="B46" s="10"/>
      <c r="C46" s="10"/>
      <c r="D46" s="10"/>
      <c r="E46" s="10"/>
      <c r="F46" s="10"/>
      <c r="G46" s="10"/>
      <c r="H46" s="10"/>
      <c r="I46" s="10"/>
      <c r="J46" s="18"/>
      <c r="K46" s="31"/>
      <c r="L46" s="19" t="str">
        <f aca="false">IF(J46="","",J46*K46)</f>
        <v/>
      </c>
      <c r="M46" s="19" t="str">
        <f aca="false">IF(J46="","",J46+L46)</f>
        <v/>
      </c>
      <c r="N46" s="10"/>
      <c r="O46" s="10"/>
      <c r="P46" s="10"/>
    </row>
    <row r="47" customFormat="false" ht="15" hidden="false" customHeight="false" outlineLevel="0" collapsed="false">
      <c r="A47" s="30"/>
      <c r="B47" s="10"/>
      <c r="C47" s="10"/>
      <c r="D47" s="10"/>
      <c r="E47" s="10"/>
      <c r="F47" s="10"/>
      <c r="G47" s="10"/>
      <c r="H47" s="10"/>
      <c r="I47" s="10"/>
      <c r="J47" s="18"/>
      <c r="K47" s="31"/>
      <c r="L47" s="19" t="str">
        <f aca="false">IF(J47="","",J47*K47)</f>
        <v/>
      </c>
      <c r="M47" s="19" t="str">
        <f aca="false">IF(J47="","",J47+L47)</f>
        <v/>
      </c>
      <c r="N47" s="10"/>
      <c r="O47" s="10"/>
      <c r="P47" s="10"/>
    </row>
    <row r="48" customFormat="false" ht="15" hidden="false" customHeight="false" outlineLevel="0" collapsed="false">
      <c r="A48" s="30"/>
      <c r="B48" s="10"/>
      <c r="C48" s="10"/>
      <c r="D48" s="10"/>
      <c r="E48" s="10"/>
      <c r="F48" s="10"/>
      <c r="G48" s="10"/>
      <c r="H48" s="10"/>
      <c r="I48" s="10"/>
      <c r="J48" s="18"/>
      <c r="K48" s="31"/>
      <c r="L48" s="19" t="str">
        <f aca="false">IF(J48="","",J48*K48)</f>
        <v/>
      </c>
      <c r="M48" s="19" t="str">
        <f aca="false">IF(J48="","",J48+L48)</f>
        <v/>
      </c>
      <c r="N48" s="10"/>
      <c r="O48" s="10"/>
      <c r="P48" s="10"/>
    </row>
    <row r="49" customFormat="false" ht="15" hidden="false" customHeight="false" outlineLevel="0" collapsed="false">
      <c r="A49" s="30"/>
      <c r="B49" s="10"/>
      <c r="C49" s="10"/>
      <c r="D49" s="10"/>
      <c r="E49" s="10"/>
      <c r="F49" s="10"/>
      <c r="G49" s="10"/>
      <c r="H49" s="10"/>
      <c r="I49" s="10"/>
      <c r="J49" s="18"/>
      <c r="K49" s="31"/>
      <c r="L49" s="19" t="str">
        <f aca="false">IF(J49="","",J49*K49)</f>
        <v/>
      </c>
      <c r="M49" s="19" t="str">
        <f aca="false">IF(J49="","",J49+L49)</f>
        <v/>
      </c>
      <c r="N49" s="10"/>
      <c r="O49" s="10"/>
      <c r="P49" s="10"/>
    </row>
    <row r="50" customFormat="false" ht="15" hidden="false" customHeight="false" outlineLevel="0" collapsed="false">
      <c r="A50" s="30"/>
      <c r="B50" s="10"/>
      <c r="C50" s="10"/>
      <c r="D50" s="10"/>
      <c r="E50" s="10"/>
      <c r="F50" s="10"/>
      <c r="G50" s="10"/>
      <c r="H50" s="10"/>
      <c r="I50" s="10"/>
      <c r="J50" s="18"/>
      <c r="K50" s="31"/>
      <c r="L50" s="19" t="str">
        <f aca="false">IF(J50="","",J50*K50)</f>
        <v/>
      </c>
      <c r="M50" s="19" t="str">
        <f aca="false">IF(J50="","",J50+L50)</f>
        <v/>
      </c>
      <c r="N50" s="10"/>
      <c r="O50" s="10"/>
      <c r="P50" s="10"/>
    </row>
    <row r="51" customFormat="false" ht="15" hidden="false" customHeight="false" outlineLevel="0" collapsed="false">
      <c r="A51" s="30"/>
      <c r="B51" s="10"/>
      <c r="C51" s="10"/>
      <c r="D51" s="10"/>
      <c r="E51" s="10"/>
      <c r="F51" s="10"/>
      <c r="G51" s="10"/>
      <c r="H51" s="10"/>
      <c r="I51" s="10"/>
      <c r="J51" s="18"/>
      <c r="K51" s="31"/>
      <c r="L51" s="19" t="str">
        <f aca="false">IF(J51="","",J51*K51)</f>
        <v/>
      </c>
      <c r="M51" s="19" t="str">
        <f aca="false">IF(J51="","",J51+L51)</f>
        <v/>
      </c>
      <c r="N51" s="10"/>
      <c r="O51" s="10"/>
      <c r="P51" s="10"/>
    </row>
    <row r="52" customFormat="false" ht="15" hidden="false" customHeight="false" outlineLevel="0" collapsed="false">
      <c r="A52" s="30"/>
      <c r="B52" s="10"/>
      <c r="C52" s="10"/>
      <c r="D52" s="10"/>
      <c r="E52" s="10"/>
      <c r="F52" s="10"/>
      <c r="G52" s="10"/>
      <c r="H52" s="10"/>
      <c r="I52" s="10"/>
      <c r="J52" s="18"/>
      <c r="K52" s="31"/>
      <c r="L52" s="19" t="str">
        <f aca="false">IF(J52="","",J52*K52)</f>
        <v/>
      </c>
      <c r="M52" s="19" t="str">
        <f aca="false">IF(J52="","",J52+L52)</f>
        <v/>
      </c>
      <c r="N52" s="10"/>
      <c r="O52" s="10"/>
      <c r="P52" s="10"/>
    </row>
    <row r="53" customFormat="false" ht="15" hidden="false" customHeight="false" outlineLevel="0" collapsed="false">
      <c r="A53" s="30"/>
      <c r="B53" s="10"/>
      <c r="C53" s="10"/>
      <c r="D53" s="10"/>
      <c r="E53" s="10"/>
      <c r="F53" s="10"/>
      <c r="G53" s="10"/>
      <c r="H53" s="10"/>
      <c r="I53" s="10"/>
      <c r="J53" s="18"/>
      <c r="K53" s="31"/>
      <c r="L53" s="19" t="str">
        <f aca="false">IF(J53="","",J53*K53)</f>
        <v/>
      </c>
      <c r="M53" s="19" t="str">
        <f aca="false">IF(J53="","",J53+L53)</f>
        <v/>
      </c>
      <c r="N53" s="10"/>
      <c r="O53" s="10"/>
      <c r="P53" s="10"/>
    </row>
    <row r="54" customFormat="false" ht="15" hidden="false" customHeight="false" outlineLevel="0" collapsed="false">
      <c r="A54" s="30"/>
      <c r="B54" s="10"/>
      <c r="C54" s="10"/>
      <c r="D54" s="10"/>
      <c r="E54" s="10"/>
      <c r="F54" s="10"/>
      <c r="G54" s="10"/>
      <c r="H54" s="10"/>
      <c r="I54" s="10"/>
      <c r="J54" s="18"/>
      <c r="K54" s="31"/>
      <c r="L54" s="19" t="str">
        <f aca="false">IF(J54="","",J54*K54)</f>
        <v/>
      </c>
      <c r="M54" s="19" t="str">
        <f aca="false">IF(J54="","",J54+L54)</f>
        <v/>
      </c>
      <c r="N54" s="10"/>
      <c r="O54" s="10"/>
      <c r="P54" s="10"/>
    </row>
    <row r="55" customFormat="false" ht="15" hidden="false" customHeight="false" outlineLevel="0" collapsed="false">
      <c r="A55" s="30"/>
      <c r="B55" s="10"/>
      <c r="C55" s="10"/>
      <c r="D55" s="10"/>
      <c r="E55" s="10"/>
      <c r="F55" s="10"/>
      <c r="G55" s="10"/>
      <c r="H55" s="10"/>
      <c r="I55" s="10"/>
      <c r="J55" s="18"/>
      <c r="K55" s="31"/>
      <c r="L55" s="19" t="str">
        <f aca="false">IF(J55="","",J55*K55)</f>
        <v/>
      </c>
      <c r="M55" s="19" t="str">
        <f aca="false">IF(J55="","",J55+L55)</f>
        <v/>
      </c>
      <c r="N55" s="10"/>
      <c r="O55" s="10"/>
      <c r="P55" s="10"/>
    </row>
    <row r="56" customFormat="false" ht="15" hidden="false" customHeight="false" outlineLevel="0" collapsed="false">
      <c r="A56" s="30"/>
      <c r="B56" s="10"/>
      <c r="C56" s="10"/>
      <c r="D56" s="10"/>
      <c r="E56" s="10"/>
      <c r="F56" s="10"/>
      <c r="G56" s="10"/>
      <c r="H56" s="10"/>
      <c r="I56" s="10"/>
      <c r="J56" s="18"/>
      <c r="K56" s="31"/>
      <c r="L56" s="19" t="str">
        <f aca="false">IF(J56="","",J56*K56)</f>
        <v/>
      </c>
      <c r="M56" s="19" t="str">
        <f aca="false">IF(J56="","",J56+L56)</f>
        <v/>
      </c>
      <c r="N56" s="10"/>
      <c r="O56" s="10"/>
      <c r="P56" s="10"/>
    </row>
    <row r="57" customFormat="false" ht="15" hidden="false" customHeight="false" outlineLevel="0" collapsed="false">
      <c r="A57" s="30"/>
      <c r="B57" s="10"/>
      <c r="C57" s="10"/>
      <c r="D57" s="10"/>
      <c r="E57" s="10"/>
      <c r="F57" s="10"/>
      <c r="G57" s="10"/>
      <c r="H57" s="10"/>
      <c r="I57" s="10"/>
      <c r="J57" s="18"/>
      <c r="K57" s="31"/>
      <c r="L57" s="19" t="str">
        <f aca="false">IF(J57="","",J57*K57)</f>
        <v/>
      </c>
      <c r="M57" s="19" t="str">
        <f aca="false">IF(J57="","",J57+L57)</f>
        <v/>
      </c>
      <c r="N57" s="10"/>
      <c r="O57" s="10"/>
      <c r="P57" s="10"/>
    </row>
    <row r="58" customFormat="false" ht="15" hidden="false" customHeight="false" outlineLevel="0" collapsed="false">
      <c r="A58" s="30"/>
      <c r="B58" s="10"/>
      <c r="C58" s="10"/>
      <c r="D58" s="10"/>
      <c r="E58" s="10"/>
      <c r="F58" s="10"/>
      <c r="G58" s="10"/>
      <c r="H58" s="10"/>
      <c r="I58" s="10"/>
      <c r="J58" s="18"/>
      <c r="K58" s="31"/>
      <c r="L58" s="19" t="str">
        <f aca="false">IF(J58="","",J58*K58)</f>
        <v/>
      </c>
      <c r="M58" s="19" t="str">
        <f aca="false">IF(J58="","",J58+L58)</f>
        <v/>
      </c>
      <c r="N58" s="10"/>
      <c r="O58" s="10"/>
      <c r="P58" s="10"/>
    </row>
    <row r="59" customFormat="false" ht="15" hidden="false" customHeight="false" outlineLevel="0" collapsed="false">
      <c r="A59" s="30"/>
      <c r="B59" s="10"/>
      <c r="C59" s="10"/>
      <c r="D59" s="10"/>
      <c r="E59" s="10"/>
      <c r="F59" s="10"/>
      <c r="G59" s="10"/>
      <c r="H59" s="10"/>
      <c r="I59" s="10"/>
      <c r="J59" s="18"/>
      <c r="K59" s="31"/>
      <c r="L59" s="19" t="str">
        <f aca="false">IF(J59="","",J59*K59)</f>
        <v/>
      </c>
      <c r="M59" s="19" t="str">
        <f aca="false">IF(J59="","",J59+L59)</f>
        <v/>
      </c>
      <c r="N59" s="10"/>
      <c r="O59" s="10"/>
      <c r="P59" s="10"/>
    </row>
    <row r="60" customFormat="false" ht="15" hidden="false" customHeight="false" outlineLevel="0" collapsed="false">
      <c r="A60" s="30"/>
      <c r="B60" s="10"/>
      <c r="C60" s="10"/>
      <c r="D60" s="10"/>
      <c r="E60" s="10"/>
      <c r="F60" s="10"/>
      <c r="G60" s="10"/>
      <c r="H60" s="10"/>
      <c r="I60" s="10"/>
      <c r="J60" s="18"/>
      <c r="K60" s="31"/>
      <c r="L60" s="19" t="str">
        <f aca="false">IF(J60="","",J60*K60)</f>
        <v/>
      </c>
      <c r="M60" s="19" t="str">
        <f aca="false">IF(J60="","",J60+L60)</f>
        <v/>
      </c>
      <c r="N60" s="10"/>
      <c r="O60" s="10"/>
      <c r="P60" s="10"/>
    </row>
    <row r="61" customFormat="false" ht="15" hidden="false" customHeight="false" outlineLevel="0" collapsed="false">
      <c r="A61" s="30"/>
      <c r="B61" s="10"/>
      <c r="C61" s="10"/>
      <c r="D61" s="10"/>
      <c r="E61" s="10"/>
      <c r="F61" s="10"/>
      <c r="G61" s="10"/>
      <c r="H61" s="10"/>
      <c r="I61" s="10"/>
      <c r="J61" s="18"/>
      <c r="K61" s="31"/>
      <c r="L61" s="19" t="str">
        <f aca="false">IF(J61="","",J61*K61)</f>
        <v/>
      </c>
      <c r="M61" s="19" t="str">
        <f aca="false">IF(J61="","",J61+L61)</f>
        <v/>
      </c>
      <c r="N61" s="10"/>
      <c r="O61" s="10"/>
      <c r="P61" s="10"/>
    </row>
    <row r="62" customFormat="false" ht="15" hidden="false" customHeight="false" outlineLevel="0" collapsed="false">
      <c r="A62" s="30"/>
      <c r="B62" s="10"/>
      <c r="C62" s="10"/>
      <c r="D62" s="10"/>
      <c r="E62" s="10"/>
      <c r="F62" s="10"/>
      <c r="G62" s="10"/>
      <c r="H62" s="10"/>
      <c r="I62" s="10"/>
      <c r="J62" s="18"/>
      <c r="K62" s="31"/>
      <c r="L62" s="19" t="str">
        <f aca="false">IF(J62="","",J62*K62)</f>
        <v/>
      </c>
      <c r="M62" s="19" t="str">
        <f aca="false">IF(J62="","",J62+L62)</f>
        <v/>
      </c>
      <c r="N62" s="10"/>
      <c r="O62" s="10"/>
      <c r="P62" s="10"/>
    </row>
    <row r="63" customFormat="false" ht="15" hidden="false" customHeight="false" outlineLevel="0" collapsed="false">
      <c r="A63" s="30"/>
      <c r="B63" s="10"/>
      <c r="C63" s="10"/>
      <c r="D63" s="10"/>
      <c r="E63" s="10"/>
      <c r="F63" s="10"/>
      <c r="G63" s="10"/>
      <c r="H63" s="10"/>
      <c r="I63" s="10"/>
      <c r="J63" s="18"/>
      <c r="K63" s="31"/>
      <c r="L63" s="19" t="str">
        <f aca="false">IF(J63="","",J63*K63)</f>
        <v/>
      </c>
      <c r="M63" s="19" t="str">
        <f aca="false">IF(J63="","",J63+L63)</f>
        <v/>
      </c>
      <c r="N63" s="10"/>
      <c r="O63" s="10"/>
      <c r="P63" s="10"/>
    </row>
    <row r="64" customFormat="false" ht="15" hidden="false" customHeight="false" outlineLevel="0" collapsed="false">
      <c r="A64" s="30"/>
      <c r="B64" s="10"/>
      <c r="C64" s="10"/>
      <c r="D64" s="10"/>
      <c r="E64" s="10"/>
      <c r="F64" s="10"/>
      <c r="G64" s="10"/>
      <c r="H64" s="10"/>
      <c r="I64" s="10"/>
      <c r="J64" s="18"/>
      <c r="K64" s="31"/>
      <c r="L64" s="19" t="str">
        <f aca="false">IF(J64="","",J64*K64)</f>
        <v/>
      </c>
      <c r="M64" s="19" t="str">
        <f aca="false">IF(J64="","",J64+L64)</f>
        <v/>
      </c>
      <c r="N64" s="10"/>
      <c r="O64" s="10"/>
      <c r="P64" s="10"/>
    </row>
    <row r="65" customFormat="false" ht="15" hidden="false" customHeight="false" outlineLevel="0" collapsed="false">
      <c r="A65" s="30"/>
      <c r="B65" s="10"/>
      <c r="C65" s="10"/>
      <c r="D65" s="10"/>
      <c r="E65" s="10"/>
      <c r="F65" s="10"/>
      <c r="G65" s="10"/>
      <c r="H65" s="10"/>
      <c r="I65" s="10"/>
      <c r="J65" s="18"/>
      <c r="K65" s="31"/>
      <c r="L65" s="19" t="str">
        <f aca="false">IF(J65="","",J65*K65)</f>
        <v/>
      </c>
      <c r="M65" s="19" t="str">
        <f aca="false">IF(J65="","",J65+L65)</f>
        <v/>
      </c>
      <c r="N65" s="10"/>
      <c r="O65" s="10"/>
      <c r="P65" s="10"/>
    </row>
    <row r="66" customFormat="false" ht="15" hidden="false" customHeight="false" outlineLevel="0" collapsed="false">
      <c r="A66" s="30"/>
      <c r="B66" s="10"/>
      <c r="C66" s="10"/>
      <c r="D66" s="10"/>
      <c r="E66" s="10"/>
      <c r="F66" s="10"/>
      <c r="G66" s="10"/>
      <c r="H66" s="10"/>
      <c r="I66" s="10"/>
      <c r="J66" s="18"/>
      <c r="K66" s="31"/>
      <c r="L66" s="19" t="str">
        <f aca="false">IF(J66="","",J66*K66)</f>
        <v/>
      </c>
      <c r="M66" s="19" t="str">
        <f aca="false">IF(J66="","",J66+L66)</f>
        <v/>
      </c>
      <c r="N66" s="10"/>
      <c r="O66" s="10"/>
      <c r="P66" s="10"/>
    </row>
    <row r="67" customFormat="false" ht="15" hidden="false" customHeight="false" outlineLevel="0" collapsed="false">
      <c r="A67" s="30"/>
      <c r="B67" s="10"/>
      <c r="C67" s="10"/>
      <c r="D67" s="10"/>
      <c r="E67" s="10"/>
      <c r="F67" s="10"/>
      <c r="G67" s="10"/>
      <c r="H67" s="10"/>
      <c r="I67" s="10"/>
      <c r="J67" s="18"/>
      <c r="K67" s="31"/>
      <c r="L67" s="19" t="str">
        <f aca="false">IF(J67="","",J67*K67)</f>
        <v/>
      </c>
      <c r="M67" s="19" t="str">
        <f aca="false">IF(J67="","",J67+L67)</f>
        <v/>
      </c>
      <c r="N67" s="10"/>
      <c r="O67" s="10"/>
      <c r="P67" s="10"/>
    </row>
    <row r="68" customFormat="false" ht="15" hidden="false" customHeight="false" outlineLevel="0" collapsed="false">
      <c r="A68" s="30"/>
      <c r="B68" s="10"/>
      <c r="C68" s="10"/>
      <c r="D68" s="10"/>
      <c r="E68" s="10"/>
      <c r="F68" s="10"/>
      <c r="G68" s="10"/>
      <c r="H68" s="10"/>
      <c r="I68" s="10"/>
      <c r="J68" s="18"/>
      <c r="K68" s="31"/>
      <c r="L68" s="19" t="str">
        <f aca="false">IF(J68="","",J68*K68)</f>
        <v/>
      </c>
      <c r="M68" s="19" t="str">
        <f aca="false">IF(J68="","",J68+L68)</f>
        <v/>
      </c>
      <c r="N68" s="10"/>
      <c r="O68" s="10"/>
      <c r="P68" s="10"/>
    </row>
    <row r="69" customFormat="false" ht="15" hidden="false" customHeight="false" outlineLevel="0" collapsed="false">
      <c r="A69" s="30"/>
      <c r="B69" s="10"/>
      <c r="C69" s="10"/>
      <c r="D69" s="10"/>
      <c r="E69" s="10"/>
      <c r="F69" s="10"/>
      <c r="G69" s="10"/>
      <c r="H69" s="10"/>
      <c r="I69" s="10"/>
      <c r="J69" s="18"/>
      <c r="K69" s="31"/>
      <c r="L69" s="19" t="str">
        <f aca="false">IF(J69="","",J69*K69)</f>
        <v/>
      </c>
      <c r="M69" s="19" t="str">
        <f aca="false">IF(J69="","",J69+L69)</f>
        <v/>
      </c>
      <c r="N69" s="10"/>
      <c r="O69" s="10"/>
      <c r="P69" s="10"/>
    </row>
    <row r="70" customFormat="false" ht="15" hidden="false" customHeight="false" outlineLevel="0" collapsed="false">
      <c r="A70" s="30"/>
      <c r="B70" s="10"/>
      <c r="C70" s="10"/>
      <c r="D70" s="10"/>
      <c r="E70" s="10"/>
      <c r="F70" s="10"/>
      <c r="G70" s="10"/>
      <c r="H70" s="10"/>
      <c r="I70" s="10"/>
      <c r="J70" s="18"/>
      <c r="K70" s="31"/>
      <c r="L70" s="19" t="str">
        <f aca="false">IF(J70="","",J70*K70)</f>
        <v/>
      </c>
      <c r="M70" s="19" t="str">
        <f aca="false">IF(J70="","",J70+L70)</f>
        <v/>
      </c>
      <c r="N70" s="10"/>
      <c r="O70" s="10"/>
      <c r="P70" s="10"/>
    </row>
    <row r="71" customFormat="false" ht="15" hidden="false" customHeight="false" outlineLevel="0" collapsed="false">
      <c r="A71" s="30"/>
      <c r="B71" s="10"/>
      <c r="C71" s="10"/>
      <c r="D71" s="10"/>
      <c r="E71" s="10"/>
      <c r="F71" s="10"/>
      <c r="G71" s="10"/>
      <c r="H71" s="10"/>
      <c r="I71" s="10"/>
      <c r="J71" s="18"/>
      <c r="K71" s="31"/>
      <c r="L71" s="19" t="str">
        <f aca="false">IF(J71="","",J71*K71)</f>
        <v/>
      </c>
      <c r="M71" s="19" t="str">
        <f aca="false">IF(J71="","",J71+L71)</f>
        <v/>
      </c>
      <c r="N71" s="10"/>
      <c r="O71" s="10"/>
      <c r="P71" s="10"/>
    </row>
    <row r="72" customFormat="false" ht="15" hidden="false" customHeight="false" outlineLevel="0" collapsed="false">
      <c r="A72" s="30"/>
      <c r="B72" s="10"/>
      <c r="C72" s="10"/>
      <c r="D72" s="10"/>
      <c r="E72" s="10"/>
      <c r="F72" s="10"/>
      <c r="G72" s="10"/>
      <c r="H72" s="10"/>
      <c r="I72" s="10"/>
      <c r="J72" s="18"/>
      <c r="K72" s="31"/>
      <c r="L72" s="19" t="str">
        <f aca="false">IF(J72="","",J72*K72)</f>
        <v/>
      </c>
      <c r="M72" s="19" t="str">
        <f aca="false">IF(J72="","",J72+L72)</f>
        <v/>
      </c>
      <c r="N72" s="10"/>
      <c r="O72" s="10"/>
      <c r="P72" s="10"/>
    </row>
    <row r="73" customFormat="false" ht="15" hidden="false" customHeight="false" outlineLevel="0" collapsed="false">
      <c r="A73" s="30"/>
      <c r="B73" s="10"/>
      <c r="C73" s="10"/>
      <c r="D73" s="10"/>
      <c r="E73" s="10"/>
      <c r="F73" s="10"/>
      <c r="G73" s="10"/>
      <c r="H73" s="10"/>
      <c r="I73" s="10"/>
      <c r="J73" s="18"/>
      <c r="K73" s="31"/>
      <c r="L73" s="19" t="str">
        <f aca="false">IF(J73="","",J73*K73)</f>
        <v/>
      </c>
      <c r="M73" s="19" t="str">
        <f aca="false">IF(J73="","",J73+L73)</f>
        <v/>
      </c>
      <c r="N73" s="10"/>
      <c r="O73" s="10"/>
      <c r="P73" s="10"/>
    </row>
    <row r="74" customFormat="false" ht="15" hidden="false" customHeight="false" outlineLevel="0" collapsed="false">
      <c r="A74" s="30"/>
      <c r="B74" s="10"/>
      <c r="C74" s="10"/>
      <c r="D74" s="10"/>
      <c r="E74" s="10"/>
      <c r="F74" s="10"/>
      <c r="G74" s="10"/>
      <c r="H74" s="10"/>
      <c r="I74" s="10"/>
      <c r="J74" s="18"/>
      <c r="K74" s="31"/>
      <c r="L74" s="19" t="str">
        <f aca="false">IF(J74="","",J74*K74)</f>
        <v/>
      </c>
      <c r="M74" s="19" t="str">
        <f aca="false">IF(J74="","",J74+L74)</f>
        <v/>
      </c>
      <c r="N74" s="10"/>
      <c r="O74" s="10"/>
      <c r="P74" s="10"/>
    </row>
    <row r="75" customFormat="false" ht="15" hidden="false" customHeight="false" outlineLevel="0" collapsed="false">
      <c r="A75" s="30"/>
      <c r="B75" s="10"/>
      <c r="C75" s="10"/>
      <c r="D75" s="10"/>
      <c r="E75" s="10"/>
      <c r="F75" s="10"/>
      <c r="G75" s="10"/>
      <c r="H75" s="10"/>
      <c r="I75" s="10"/>
      <c r="J75" s="18"/>
      <c r="K75" s="31"/>
      <c r="L75" s="19" t="str">
        <f aca="false">IF(J75="","",J75*K75)</f>
        <v/>
      </c>
      <c r="M75" s="19" t="str">
        <f aca="false">IF(J75="","",J75+L75)</f>
        <v/>
      </c>
      <c r="N75" s="10"/>
      <c r="O75" s="10"/>
      <c r="P75" s="10"/>
    </row>
    <row r="76" customFormat="false" ht="15" hidden="false" customHeight="false" outlineLevel="0" collapsed="false">
      <c r="A76" s="30"/>
      <c r="B76" s="10"/>
      <c r="C76" s="10"/>
      <c r="D76" s="10"/>
      <c r="E76" s="10"/>
      <c r="F76" s="10"/>
      <c r="G76" s="10"/>
      <c r="H76" s="10"/>
      <c r="I76" s="10"/>
      <c r="J76" s="18"/>
      <c r="K76" s="31"/>
      <c r="L76" s="19" t="str">
        <f aca="false">IF(J76="","",J76*K76)</f>
        <v/>
      </c>
      <c r="M76" s="19" t="str">
        <f aca="false">IF(J76="","",J76+L76)</f>
        <v/>
      </c>
      <c r="N76" s="10"/>
      <c r="O76" s="10"/>
      <c r="P76" s="10"/>
    </row>
    <row r="77" customFormat="false" ht="15" hidden="false" customHeight="false" outlineLevel="0" collapsed="false">
      <c r="A77" s="30"/>
      <c r="B77" s="10"/>
      <c r="C77" s="10"/>
      <c r="D77" s="10"/>
      <c r="E77" s="10"/>
      <c r="F77" s="10"/>
      <c r="G77" s="10"/>
      <c r="H77" s="10"/>
      <c r="I77" s="10"/>
      <c r="J77" s="18"/>
      <c r="K77" s="31"/>
      <c r="L77" s="19" t="str">
        <f aca="false">IF(J77="","",J77*K77)</f>
        <v/>
      </c>
      <c r="M77" s="19" t="str">
        <f aca="false">IF(J77="","",J77+L77)</f>
        <v/>
      </c>
      <c r="N77" s="10"/>
      <c r="O77" s="10"/>
      <c r="P77" s="10"/>
    </row>
    <row r="78" customFormat="false" ht="15" hidden="false" customHeight="false" outlineLevel="0" collapsed="false">
      <c r="A78" s="30"/>
      <c r="B78" s="10"/>
      <c r="C78" s="10"/>
      <c r="D78" s="10"/>
      <c r="E78" s="10"/>
      <c r="F78" s="10"/>
      <c r="G78" s="10"/>
      <c r="H78" s="10"/>
      <c r="I78" s="10"/>
      <c r="J78" s="18"/>
      <c r="K78" s="31"/>
      <c r="L78" s="19" t="str">
        <f aca="false">IF(J78="","",J78*K78)</f>
        <v/>
      </c>
      <c r="M78" s="19" t="str">
        <f aca="false">IF(J78="","",J78+L78)</f>
        <v/>
      </c>
      <c r="N78" s="10"/>
      <c r="O78" s="10"/>
      <c r="P78" s="10"/>
    </row>
    <row r="79" customFormat="false" ht="15" hidden="false" customHeight="false" outlineLevel="0" collapsed="false">
      <c r="A79" s="30"/>
      <c r="B79" s="10"/>
      <c r="C79" s="10"/>
      <c r="D79" s="10"/>
      <c r="E79" s="10"/>
      <c r="F79" s="10"/>
      <c r="G79" s="10"/>
      <c r="H79" s="10"/>
      <c r="I79" s="10"/>
      <c r="J79" s="18"/>
      <c r="K79" s="31"/>
      <c r="L79" s="19" t="str">
        <f aca="false">IF(J79="","",J79*K79)</f>
        <v/>
      </c>
      <c r="M79" s="19" t="str">
        <f aca="false">IF(J79="","",J79+L79)</f>
        <v/>
      </c>
      <c r="N79" s="10"/>
      <c r="O79" s="10"/>
      <c r="P79" s="10"/>
    </row>
    <row r="80" customFormat="false" ht="15" hidden="false" customHeight="false" outlineLevel="0" collapsed="false">
      <c r="A80" s="30"/>
      <c r="B80" s="10"/>
      <c r="C80" s="10"/>
      <c r="D80" s="10"/>
      <c r="E80" s="10"/>
      <c r="F80" s="10"/>
      <c r="G80" s="10"/>
      <c r="H80" s="10"/>
      <c r="I80" s="10"/>
      <c r="J80" s="18"/>
      <c r="K80" s="31"/>
      <c r="L80" s="19" t="str">
        <f aca="false">IF(J80="","",J80*K80)</f>
        <v/>
      </c>
      <c r="M80" s="19" t="str">
        <f aca="false">IF(J80="","",J80+L80)</f>
        <v/>
      </c>
      <c r="N80" s="10"/>
      <c r="O80" s="10"/>
      <c r="P80" s="10"/>
    </row>
    <row r="81" customFormat="false" ht="15" hidden="false" customHeight="false" outlineLevel="0" collapsed="false">
      <c r="A81" s="30"/>
      <c r="B81" s="10"/>
      <c r="C81" s="10"/>
      <c r="D81" s="10"/>
      <c r="E81" s="10"/>
      <c r="F81" s="10"/>
      <c r="G81" s="10"/>
      <c r="H81" s="10"/>
      <c r="I81" s="10"/>
      <c r="J81" s="18"/>
      <c r="K81" s="31"/>
      <c r="L81" s="19" t="str">
        <f aca="false">IF(J81="","",J81*K81)</f>
        <v/>
      </c>
      <c r="M81" s="19" t="str">
        <f aca="false">IF(J81="","",J81+L81)</f>
        <v/>
      </c>
      <c r="N81" s="10"/>
      <c r="O81" s="10"/>
      <c r="P81" s="10"/>
    </row>
    <row r="82" customFormat="false" ht="15" hidden="false" customHeight="false" outlineLevel="0" collapsed="false">
      <c r="A82" s="30"/>
      <c r="B82" s="10"/>
      <c r="C82" s="10"/>
      <c r="D82" s="10"/>
      <c r="E82" s="10"/>
      <c r="F82" s="10"/>
      <c r="G82" s="10"/>
      <c r="H82" s="10"/>
      <c r="I82" s="10"/>
      <c r="J82" s="18"/>
      <c r="K82" s="31"/>
      <c r="L82" s="19" t="str">
        <f aca="false">IF(J82="","",J82*K82)</f>
        <v/>
      </c>
      <c r="M82" s="19" t="str">
        <f aca="false">IF(J82="","",J82+L82)</f>
        <v/>
      </c>
      <c r="N82" s="10"/>
      <c r="O82" s="10"/>
      <c r="P82" s="10"/>
    </row>
    <row r="83" customFormat="false" ht="15" hidden="false" customHeight="false" outlineLevel="0" collapsed="false">
      <c r="A83" s="30"/>
      <c r="B83" s="10"/>
      <c r="C83" s="10"/>
      <c r="D83" s="10"/>
      <c r="E83" s="10"/>
      <c r="F83" s="10"/>
      <c r="G83" s="10"/>
      <c r="H83" s="10"/>
      <c r="I83" s="10"/>
      <c r="J83" s="18"/>
      <c r="K83" s="31"/>
      <c r="L83" s="19" t="str">
        <f aca="false">IF(J83="","",J83*K83)</f>
        <v/>
      </c>
      <c r="M83" s="19" t="str">
        <f aca="false">IF(J83="","",J83+L83)</f>
        <v/>
      </c>
      <c r="N83" s="10"/>
      <c r="O83" s="10"/>
      <c r="P83" s="10"/>
    </row>
    <row r="84" customFormat="false" ht="15" hidden="false" customHeight="false" outlineLevel="0" collapsed="false">
      <c r="A84" s="30"/>
      <c r="B84" s="10"/>
      <c r="C84" s="10"/>
      <c r="D84" s="10"/>
      <c r="E84" s="10"/>
      <c r="F84" s="10"/>
      <c r="G84" s="10"/>
      <c r="H84" s="10"/>
      <c r="I84" s="10"/>
      <c r="J84" s="18"/>
      <c r="K84" s="31"/>
      <c r="L84" s="19" t="str">
        <f aca="false">IF(J84="","",J84*K84)</f>
        <v/>
      </c>
      <c r="M84" s="19" t="str">
        <f aca="false">IF(J84="","",J84+L84)</f>
        <v/>
      </c>
      <c r="N84" s="10"/>
      <c r="O84" s="10"/>
      <c r="P84" s="10"/>
    </row>
    <row r="85" customFormat="false" ht="15" hidden="false" customHeight="false" outlineLevel="0" collapsed="false">
      <c r="A85" s="30"/>
      <c r="B85" s="10"/>
      <c r="C85" s="10"/>
      <c r="D85" s="10"/>
      <c r="E85" s="10"/>
      <c r="F85" s="10"/>
      <c r="G85" s="10"/>
      <c r="H85" s="10"/>
      <c r="I85" s="10"/>
      <c r="J85" s="18"/>
      <c r="K85" s="31"/>
      <c r="L85" s="19" t="str">
        <f aca="false">IF(J85="","",J85*K85)</f>
        <v/>
      </c>
      <c r="M85" s="19" t="str">
        <f aca="false">IF(J85="","",J85+L85)</f>
        <v/>
      </c>
      <c r="N85" s="10"/>
      <c r="O85" s="10"/>
      <c r="P85" s="10"/>
    </row>
    <row r="86" customFormat="false" ht="15" hidden="false" customHeight="false" outlineLevel="0" collapsed="false">
      <c r="A86" s="30"/>
      <c r="B86" s="10"/>
      <c r="C86" s="10"/>
      <c r="D86" s="10"/>
      <c r="E86" s="10"/>
      <c r="F86" s="10"/>
      <c r="G86" s="10"/>
      <c r="H86" s="10"/>
      <c r="I86" s="10"/>
      <c r="J86" s="18"/>
      <c r="K86" s="31"/>
      <c r="L86" s="19" t="str">
        <f aca="false">IF(J86="","",J86*K86)</f>
        <v/>
      </c>
      <c r="M86" s="19" t="str">
        <f aca="false">IF(J86="","",J86+L86)</f>
        <v/>
      </c>
      <c r="N86" s="10"/>
      <c r="O86" s="10"/>
      <c r="P86" s="10"/>
    </row>
    <row r="87" customFormat="false" ht="15" hidden="false" customHeight="false" outlineLevel="0" collapsed="false">
      <c r="A87" s="30"/>
      <c r="B87" s="10"/>
      <c r="C87" s="10"/>
      <c r="D87" s="10"/>
      <c r="E87" s="10"/>
      <c r="F87" s="10"/>
      <c r="G87" s="10"/>
      <c r="H87" s="10"/>
      <c r="I87" s="10"/>
      <c r="J87" s="18"/>
      <c r="K87" s="31"/>
      <c r="L87" s="19" t="str">
        <f aca="false">IF(J87="","",J87*K87)</f>
        <v/>
      </c>
      <c r="M87" s="19" t="str">
        <f aca="false">IF(J87="","",J87+L87)</f>
        <v/>
      </c>
      <c r="N87" s="10"/>
      <c r="O87" s="10"/>
      <c r="P87" s="10"/>
    </row>
    <row r="88" customFormat="false" ht="15" hidden="false" customHeight="false" outlineLevel="0" collapsed="false">
      <c r="A88" s="30"/>
      <c r="B88" s="10"/>
      <c r="C88" s="10"/>
      <c r="D88" s="10"/>
      <c r="E88" s="10"/>
      <c r="F88" s="10"/>
      <c r="G88" s="10"/>
      <c r="H88" s="10"/>
      <c r="I88" s="10"/>
      <c r="J88" s="18"/>
      <c r="K88" s="31"/>
      <c r="L88" s="19" t="str">
        <f aca="false">IF(J88="","",J88*K88)</f>
        <v/>
      </c>
      <c r="M88" s="19" t="str">
        <f aca="false">IF(J88="","",J88+L88)</f>
        <v/>
      </c>
      <c r="N88" s="10"/>
      <c r="O88" s="10"/>
      <c r="P88" s="10"/>
    </row>
    <row r="89" customFormat="false" ht="15" hidden="false" customHeight="false" outlineLevel="0" collapsed="false">
      <c r="A89" s="30"/>
      <c r="B89" s="10"/>
      <c r="C89" s="10"/>
      <c r="D89" s="10"/>
      <c r="E89" s="10"/>
      <c r="F89" s="10"/>
      <c r="G89" s="10"/>
      <c r="H89" s="10"/>
      <c r="I89" s="10"/>
      <c r="J89" s="18"/>
      <c r="K89" s="31"/>
      <c r="L89" s="19" t="str">
        <f aca="false">IF(J89="","",J89*K89)</f>
        <v/>
      </c>
      <c r="M89" s="19" t="str">
        <f aca="false">IF(J89="","",J89+L89)</f>
        <v/>
      </c>
      <c r="N89" s="10"/>
      <c r="O89" s="10"/>
      <c r="P89" s="10"/>
    </row>
    <row r="90" customFormat="false" ht="15" hidden="false" customHeight="false" outlineLevel="0" collapsed="false">
      <c r="A90" s="30"/>
      <c r="B90" s="10"/>
      <c r="C90" s="10"/>
      <c r="D90" s="10"/>
      <c r="E90" s="10"/>
      <c r="F90" s="10"/>
      <c r="G90" s="10"/>
      <c r="H90" s="10"/>
      <c r="I90" s="10"/>
      <c r="J90" s="18"/>
      <c r="K90" s="31"/>
      <c r="L90" s="19" t="str">
        <f aca="false">IF(J90="","",J90*K90)</f>
        <v/>
      </c>
      <c r="M90" s="19" t="str">
        <f aca="false">IF(J90="","",J90+L90)</f>
        <v/>
      </c>
      <c r="N90" s="10"/>
      <c r="O90" s="10"/>
      <c r="P90" s="10"/>
    </row>
    <row r="91" customFormat="false" ht="15" hidden="false" customHeight="false" outlineLevel="0" collapsed="false">
      <c r="A91" s="30"/>
      <c r="B91" s="10"/>
      <c r="C91" s="10"/>
      <c r="D91" s="10"/>
      <c r="E91" s="10"/>
      <c r="F91" s="10"/>
      <c r="G91" s="10"/>
      <c r="H91" s="10"/>
      <c r="I91" s="10"/>
      <c r="J91" s="18"/>
      <c r="K91" s="31"/>
      <c r="L91" s="19" t="str">
        <f aca="false">IF(J91="","",J91*K91)</f>
        <v/>
      </c>
      <c r="M91" s="19" t="str">
        <f aca="false">IF(J91="","",J91+L91)</f>
        <v/>
      </c>
      <c r="N91" s="10"/>
      <c r="O91" s="10"/>
      <c r="P91" s="10"/>
    </row>
    <row r="92" customFormat="false" ht="15" hidden="false" customHeight="false" outlineLevel="0" collapsed="false">
      <c r="A92" s="30"/>
      <c r="B92" s="10"/>
      <c r="C92" s="10"/>
      <c r="D92" s="10"/>
      <c r="E92" s="10"/>
      <c r="F92" s="10"/>
      <c r="G92" s="10"/>
      <c r="H92" s="10"/>
      <c r="I92" s="10"/>
      <c r="J92" s="18"/>
      <c r="K92" s="31"/>
      <c r="L92" s="19" t="str">
        <f aca="false">IF(J92="","",J92*K92)</f>
        <v/>
      </c>
      <c r="M92" s="19" t="str">
        <f aca="false">IF(J92="","",J92+L92)</f>
        <v/>
      </c>
      <c r="N92" s="10"/>
      <c r="O92" s="10"/>
      <c r="P92" s="10"/>
    </row>
    <row r="93" customFormat="false" ht="15" hidden="false" customHeight="false" outlineLevel="0" collapsed="false">
      <c r="A93" s="30"/>
      <c r="B93" s="10"/>
      <c r="C93" s="10"/>
      <c r="D93" s="10"/>
      <c r="E93" s="10"/>
      <c r="F93" s="10"/>
      <c r="G93" s="10"/>
      <c r="H93" s="10"/>
      <c r="I93" s="10"/>
      <c r="J93" s="18"/>
      <c r="K93" s="31"/>
      <c r="L93" s="19" t="str">
        <f aca="false">IF(J93="","",J93*K93)</f>
        <v/>
      </c>
      <c r="M93" s="19" t="str">
        <f aca="false">IF(J93="","",J93+L93)</f>
        <v/>
      </c>
      <c r="N93" s="10"/>
      <c r="O93" s="10"/>
      <c r="P93" s="10"/>
    </row>
    <row r="94" customFormat="false" ht="15" hidden="false" customHeight="false" outlineLevel="0" collapsed="false">
      <c r="A94" s="30"/>
      <c r="B94" s="10"/>
      <c r="C94" s="10"/>
      <c r="D94" s="10"/>
      <c r="E94" s="10"/>
      <c r="F94" s="10"/>
      <c r="G94" s="10"/>
      <c r="H94" s="10"/>
      <c r="I94" s="10"/>
      <c r="J94" s="18"/>
      <c r="K94" s="31"/>
      <c r="L94" s="19" t="str">
        <f aca="false">IF(J94="","",J94*K94)</f>
        <v/>
      </c>
      <c r="M94" s="19" t="str">
        <f aca="false">IF(J94="","",J94+L94)</f>
        <v/>
      </c>
      <c r="N94" s="10"/>
      <c r="O94" s="10"/>
      <c r="P94" s="10"/>
    </row>
    <row r="95" customFormat="false" ht="15" hidden="false" customHeight="false" outlineLevel="0" collapsed="false">
      <c r="A95" s="30"/>
      <c r="B95" s="10"/>
      <c r="C95" s="10"/>
      <c r="D95" s="10"/>
      <c r="E95" s="10"/>
      <c r="F95" s="10"/>
      <c r="G95" s="10"/>
      <c r="H95" s="10"/>
      <c r="I95" s="10"/>
      <c r="J95" s="18"/>
      <c r="K95" s="31"/>
      <c r="L95" s="19" t="str">
        <f aca="false">IF(J95="","",J95*K95)</f>
        <v/>
      </c>
      <c r="M95" s="19" t="str">
        <f aca="false">IF(J95="","",J95+L95)</f>
        <v/>
      </c>
      <c r="N95" s="10"/>
      <c r="O95" s="10"/>
      <c r="P95" s="10"/>
    </row>
    <row r="96" customFormat="false" ht="15" hidden="false" customHeight="false" outlineLevel="0" collapsed="false">
      <c r="A96" s="30"/>
      <c r="B96" s="10"/>
      <c r="C96" s="10"/>
      <c r="D96" s="10"/>
      <c r="E96" s="10"/>
      <c r="F96" s="10"/>
      <c r="G96" s="10"/>
      <c r="H96" s="10"/>
      <c r="I96" s="10"/>
      <c r="J96" s="18"/>
      <c r="K96" s="31"/>
      <c r="L96" s="19" t="str">
        <f aca="false">IF(J96="","",J96*K96)</f>
        <v/>
      </c>
      <c r="M96" s="19" t="str">
        <f aca="false">IF(J96="","",J96+L96)</f>
        <v/>
      </c>
      <c r="N96" s="10"/>
      <c r="O96" s="10"/>
      <c r="P96" s="10"/>
    </row>
    <row r="97" customFormat="false" ht="15" hidden="false" customHeight="false" outlineLevel="0" collapsed="false">
      <c r="A97" s="30"/>
      <c r="B97" s="10"/>
      <c r="C97" s="10"/>
      <c r="D97" s="10"/>
      <c r="E97" s="10"/>
      <c r="F97" s="10"/>
      <c r="G97" s="10"/>
      <c r="H97" s="10"/>
      <c r="I97" s="10"/>
      <c r="J97" s="18"/>
      <c r="K97" s="31"/>
      <c r="L97" s="19" t="str">
        <f aca="false">IF(J97="","",J97*K97)</f>
        <v/>
      </c>
      <c r="M97" s="19" t="str">
        <f aca="false">IF(J97="","",J97+L97)</f>
        <v/>
      </c>
      <c r="N97" s="10"/>
      <c r="O97" s="10"/>
      <c r="P97" s="10"/>
    </row>
    <row r="98" customFormat="false" ht="15" hidden="false" customHeight="false" outlineLevel="0" collapsed="false">
      <c r="A98" s="30"/>
      <c r="B98" s="10"/>
      <c r="C98" s="10"/>
      <c r="D98" s="10"/>
      <c r="E98" s="10"/>
      <c r="F98" s="10"/>
      <c r="G98" s="10"/>
      <c r="H98" s="10"/>
      <c r="I98" s="10"/>
      <c r="J98" s="18"/>
      <c r="K98" s="31"/>
      <c r="L98" s="19" t="str">
        <f aca="false">IF(J98="","",J98*K98)</f>
        <v/>
      </c>
      <c r="M98" s="19" t="str">
        <f aca="false">IF(J98="","",J98+L98)</f>
        <v/>
      </c>
      <c r="N98" s="10"/>
      <c r="O98" s="10"/>
      <c r="P98" s="10"/>
    </row>
    <row r="99" customFormat="false" ht="15" hidden="false" customHeight="false" outlineLevel="0" collapsed="false">
      <c r="A99" s="30"/>
      <c r="B99" s="10"/>
      <c r="C99" s="10"/>
      <c r="D99" s="10"/>
      <c r="E99" s="10"/>
      <c r="F99" s="10"/>
      <c r="G99" s="10"/>
      <c r="H99" s="10"/>
      <c r="I99" s="10"/>
      <c r="J99" s="18"/>
      <c r="K99" s="31"/>
      <c r="L99" s="19" t="str">
        <f aca="false">IF(J99="","",J99*K99)</f>
        <v/>
      </c>
      <c r="M99" s="19" t="str">
        <f aca="false">IF(J99="","",J99+L99)</f>
        <v/>
      </c>
      <c r="N99" s="10"/>
      <c r="O99" s="10"/>
      <c r="P99" s="10"/>
    </row>
    <row r="100" customFormat="false" ht="15" hidden="false" customHeight="false" outlineLevel="0" collapsed="false">
      <c r="A100" s="30"/>
      <c r="B100" s="10"/>
      <c r="C100" s="10"/>
      <c r="D100" s="10"/>
      <c r="E100" s="10"/>
      <c r="F100" s="10"/>
      <c r="G100" s="10"/>
      <c r="H100" s="10"/>
      <c r="I100" s="10"/>
      <c r="J100" s="18"/>
      <c r="K100" s="31"/>
      <c r="L100" s="19" t="str">
        <f aca="false">IF(J100="","",J100*K100)</f>
        <v/>
      </c>
      <c r="M100" s="19" t="str">
        <f aca="false">IF(J100="","",J100+L100)</f>
        <v/>
      </c>
      <c r="N100" s="10"/>
      <c r="O100" s="10"/>
      <c r="P100" s="10"/>
    </row>
    <row r="101" customFormat="false" ht="15" hidden="false" customHeight="false" outlineLevel="0" collapsed="false">
      <c r="A101" s="30"/>
      <c r="B101" s="10"/>
      <c r="C101" s="10"/>
      <c r="D101" s="10"/>
      <c r="E101" s="10"/>
      <c r="F101" s="10"/>
      <c r="G101" s="10"/>
      <c r="H101" s="10"/>
      <c r="I101" s="10"/>
      <c r="J101" s="18"/>
      <c r="K101" s="31"/>
      <c r="L101" s="19" t="str">
        <f aca="false">IF(J101="","",J101*K101)</f>
        <v/>
      </c>
      <c r="M101" s="19" t="str">
        <f aca="false">IF(J101="","",J101+L101)</f>
        <v/>
      </c>
      <c r="N101" s="10"/>
      <c r="O101" s="10"/>
      <c r="P101" s="10"/>
    </row>
    <row r="102" customFormat="false" ht="15" hidden="false" customHeight="false" outlineLevel="0" collapsed="false">
      <c r="A102" s="30"/>
      <c r="B102" s="10"/>
      <c r="C102" s="10"/>
      <c r="D102" s="10"/>
      <c r="E102" s="10"/>
      <c r="F102" s="10"/>
      <c r="G102" s="10"/>
      <c r="H102" s="10"/>
      <c r="I102" s="10"/>
      <c r="J102" s="18"/>
      <c r="K102" s="31"/>
      <c r="L102" s="19" t="str">
        <f aca="false">IF(J102="","",J102*K102)</f>
        <v/>
      </c>
      <c r="M102" s="19" t="str">
        <f aca="false">IF(J102="","",J102+L102)</f>
        <v/>
      </c>
      <c r="N102" s="10"/>
      <c r="O102" s="10"/>
      <c r="P102" s="10"/>
    </row>
    <row r="103" customFormat="false" ht="15" hidden="false" customHeight="false" outlineLevel="0" collapsed="false">
      <c r="A103" s="30"/>
      <c r="B103" s="10"/>
      <c r="C103" s="10"/>
      <c r="D103" s="10"/>
      <c r="E103" s="10"/>
      <c r="F103" s="10"/>
      <c r="G103" s="10"/>
      <c r="H103" s="10"/>
      <c r="I103" s="10"/>
      <c r="J103" s="18"/>
      <c r="K103" s="31"/>
      <c r="L103" s="19" t="str">
        <f aca="false">IF(J103="","",J103*K103)</f>
        <v/>
      </c>
      <c r="M103" s="19" t="str">
        <f aca="false">IF(J103="","",J103+L103)</f>
        <v/>
      </c>
      <c r="N103" s="10"/>
      <c r="O103" s="10"/>
      <c r="P103" s="10"/>
    </row>
    <row r="104" customFormat="false" ht="15" hidden="false" customHeight="false" outlineLevel="0" collapsed="false">
      <c r="A104" s="30"/>
      <c r="B104" s="10"/>
      <c r="C104" s="10"/>
      <c r="D104" s="10"/>
      <c r="E104" s="10"/>
      <c r="F104" s="10"/>
      <c r="G104" s="10"/>
      <c r="H104" s="10"/>
      <c r="I104" s="10"/>
      <c r="J104" s="18"/>
      <c r="K104" s="31"/>
      <c r="L104" s="19" t="str">
        <f aca="false">IF(J104="","",J104*K104)</f>
        <v/>
      </c>
      <c r="M104" s="19" t="str">
        <f aca="false">IF(J104="","",J104+L104)</f>
        <v/>
      </c>
      <c r="N104" s="10"/>
      <c r="O104" s="10"/>
      <c r="P104" s="10"/>
    </row>
    <row r="105" customFormat="false" ht="15" hidden="false" customHeight="false" outlineLevel="0" collapsed="false">
      <c r="A105" s="30"/>
      <c r="B105" s="10"/>
      <c r="C105" s="10"/>
      <c r="D105" s="10"/>
      <c r="E105" s="10"/>
      <c r="F105" s="10"/>
      <c r="G105" s="10"/>
      <c r="H105" s="10"/>
      <c r="I105" s="10"/>
      <c r="J105" s="18"/>
      <c r="K105" s="31"/>
      <c r="L105" s="19" t="str">
        <f aca="false">IF(J105="","",J105*K105)</f>
        <v/>
      </c>
      <c r="M105" s="19" t="str">
        <f aca="false">IF(J105="","",J105+L105)</f>
        <v/>
      </c>
      <c r="N105" s="10"/>
      <c r="O105" s="10"/>
      <c r="P105" s="10"/>
    </row>
    <row r="106" customFormat="false" ht="15" hidden="false" customHeight="false" outlineLevel="0" collapsed="false">
      <c r="A106" s="30"/>
      <c r="B106" s="10"/>
      <c r="C106" s="10"/>
      <c r="D106" s="10"/>
      <c r="E106" s="10"/>
      <c r="F106" s="10"/>
      <c r="G106" s="10"/>
      <c r="H106" s="10"/>
      <c r="I106" s="10"/>
      <c r="J106" s="18"/>
      <c r="K106" s="31"/>
      <c r="L106" s="19" t="str">
        <f aca="false">IF(J106="","",J106*K106)</f>
        <v/>
      </c>
      <c r="M106" s="19" t="str">
        <f aca="false">IF(J106="","",J106+L106)</f>
        <v/>
      </c>
      <c r="N106" s="10"/>
      <c r="O106" s="10"/>
      <c r="P106" s="10"/>
    </row>
    <row r="107" customFormat="false" ht="15" hidden="false" customHeight="false" outlineLevel="0" collapsed="false">
      <c r="A107" s="30"/>
      <c r="B107" s="10"/>
      <c r="C107" s="10"/>
      <c r="D107" s="10"/>
      <c r="E107" s="10"/>
      <c r="F107" s="10"/>
      <c r="G107" s="10"/>
      <c r="H107" s="10"/>
      <c r="I107" s="10"/>
      <c r="J107" s="18"/>
      <c r="K107" s="31"/>
      <c r="L107" s="19" t="str">
        <f aca="false">IF(J107="","",J107*K107)</f>
        <v/>
      </c>
      <c r="M107" s="19" t="str">
        <f aca="false">IF(J107="","",J107+L107)</f>
        <v/>
      </c>
      <c r="N107" s="10"/>
      <c r="O107" s="10"/>
      <c r="P107" s="10"/>
    </row>
    <row r="108" customFormat="false" ht="15" hidden="false" customHeight="false" outlineLevel="0" collapsed="false">
      <c r="A108" s="30"/>
      <c r="B108" s="10"/>
      <c r="C108" s="10"/>
      <c r="D108" s="10"/>
      <c r="E108" s="10"/>
      <c r="F108" s="10"/>
      <c r="G108" s="10"/>
      <c r="H108" s="10"/>
      <c r="I108" s="10"/>
      <c r="J108" s="18"/>
      <c r="K108" s="31"/>
      <c r="L108" s="19" t="str">
        <f aca="false">IF(J108="","",J108*K108)</f>
        <v/>
      </c>
      <c r="M108" s="19" t="str">
        <f aca="false">IF(J108="","",J108+L108)</f>
        <v/>
      </c>
      <c r="N108" s="10"/>
      <c r="O108" s="10"/>
      <c r="P108" s="10"/>
    </row>
    <row r="109" customFormat="false" ht="15" hidden="false" customHeight="false" outlineLevel="0" collapsed="false">
      <c r="A109" s="30"/>
      <c r="B109" s="10"/>
      <c r="C109" s="10"/>
      <c r="D109" s="10"/>
      <c r="E109" s="10"/>
      <c r="F109" s="10"/>
      <c r="G109" s="10"/>
      <c r="H109" s="10"/>
      <c r="I109" s="10"/>
      <c r="J109" s="18"/>
      <c r="K109" s="31"/>
      <c r="L109" s="19" t="str">
        <f aca="false">IF(J109="","",J109*K109)</f>
        <v/>
      </c>
      <c r="M109" s="19" t="str">
        <f aca="false">IF(J109="","",J109+L109)</f>
        <v/>
      </c>
      <c r="N109" s="10"/>
      <c r="O109" s="10"/>
      <c r="P109" s="10"/>
    </row>
    <row r="110" customFormat="false" ht="15" hidden="false" customHeight="false" outlineLevel="0" collapsed="false">
      <c r="A110" s="30"/>
      <c r="B110" s="10"/>
      <c r="C110" s="10"/>
      <c r="D110" s="10"/>
      <c r="E110" s="10"/>
      <c r="F110" s="10"/>
      <c r="G110" s="10"/>
      <c r="H110" s="10"/>
      <c r="I110" s="10"/>
      <c r="J110" s="18"/>
      <c r="K110" s="31"/>
      <c r="L110" s="19" t="str">
        <f aca="false">IF(J110="","",J110*K110)</f>
        <v/>
      </c>
      <c r="M110" s="19" t="str">
        <f aca="false">IF(J110="","",J110+L110)</f>
        <v/>
      </c>
      <c r="N110" s="10"/>
      <c r="O110" s="10"/>
      <c r="P110" s="10"/>
    </row>
    <row r="111" customFormat="false" ht="15" hidden="false" customHeight="false" outlineLevel="0" collapsed="false">
      <c r="A111" s="30"/>
      <c r="B111" s="10"/>
      <c r="C111" s="10"/>
      <c r="D111" s="10"/>
      <c r="E111" s="10"/>
      <c r="F111" s="10"/>
      <c r="G111" s="10"/>
      <c r="H111" s="10"/>
      <c r="I111" s="10"/>
      <c r="J111" s="18"/>
      <c r="K111" s="31"/>
      <c r="L111" s="19" t="str">
        <f aca="false">IF(J111="","",J111*K111)</f>
        <v/>
      </c>
      <c r="M111" s="19" t="str">
        <f aca="false">IF(J111="","",J111+L111)</f>
        <v/>
      </c>
      <c r="N111" s="10"/>
      <c r="O111" s="10"/>
      <c r="P111" s="10"/>
    </row>
    <row r="112" customFormat="false" ht="15" hidden="false" customHeight="false" outlineLevel="0" collapsed="false">
      <c r="A112" s="30"/>
      <c r="B112" s="10"/>
      <c r="C112" s="10"/>
      <c r="D112" s="10"/>
      <c r="E112" s="10"/>
      <c r="F112" s="10"/>
      <c r="G112" s="10"/>
      <c r="H112" s="10"/>
      <c r="I112" s="10"/>
      <c r="J112" s="18"/>
      <c r="K112" s="31"/>
      <c r="L112" s="19" t="str">
        <f aca="false">IF(J112="","",J112*K112)</f>
        <v/>
      </c>
      <c r="M112" s="19" t="str">
        <f aca="false">IF(J112="","",J112+L112)</f>
        <v/>
      </c>
      <c r="N112" s="10"/>
      <c r="O112" s="10"/>
      <c r="P112" s="10"/>
    </row>
    <row r="113" customFormat="false" ht="15" hidden="false" customHeight="false" outlineLevel="0" collapsed="false">
      <c r="A113" s="30"/>
      <c r="B113" s="10"/>
      <c r="C113" s="10"/>
      <c r="D113" s="10"/>
      <c r="E113" s="10"/>
      <c r="F113" s="10"/>
      <c r="G113" s="10"/>
      <c r="H113" s="10"/>
      <c r="I113" s="10"/>
      <c r="J113" s="18"/>
      <c r="K113" s="31"/>
      <c r="L113" s="19" t="str">
        <f aca="false">IF(J113="","",J113*K113)</f>
        <v/>
      </c>
      <c r="M113" s="19" t="str">
        <f aca="false">IF(J113="","",J113+L113)</f>
        <v/>
      </c>
      <c r="N113" s="10"/>
      <c r="O113" s="10"/>
      <c r="P113" s="10"/>
    </row>
    <row r="114" customFormat="false" ht="15" hidden="false" customHeight="false" outlineLevel="0" collapsed="false">
      <c r="A114" s="30"/>
      <c r="B114" s="10"/>
      <c r="C114" s="10"/>
      <c r="D114" s="10"/>
      <c r="E114" s="10"/>
      <c r="F114" s="10"/>
      <c r="G114" s="10"/>
      <c r="H114" s="10"/>
      <c r="I114" s="10"/>
      <c r="J114" s="18"/>
      <c r="K114" s="31"/>
      <c r="L114" s="19" t="str">
        <f aca="false">IF(J114="","",J114*K114)</f>
        <v/>
      </c>
      <c r="M114" s="19" t="str">
        <f aca="false">IF(J114="","",J114+L114)</f>
        <v/>
      </c>
      <c r="N114" s="10"/>
      <c r="O114" s="10"/>
      <c r="P114" s="10"/>
    </row>
    <row r="115" customFormat="false" ht="15" hidden="false" customHeight="false" outlineLevel="0" collapsed="false">
      <c r="A115" s="30"/>
      <c r="B115" s="10"/>
      <c r="C115" s="10"/>
      <c r="D115" s="10"/>
      <c r="E115" s="10"/>
      <c r="F115" s="10"/>
      <c r="G115" s="10"/>
      <c r="H115" s="10"/>
      <c r="I115" s="10"/>
      <c r="J115" s="18"/>
      <c r="K115" s="31"/>
      <c r="L115" s="19" t="str">
        <f aca="false">IF(J115="","",J115*K115)</f>
        <v/>
      </c>
      <c r="M115" s="19" t="str">
        <f aca="false">IF(J115="","",J115+L115)</f>
        <v/>
      </c>
      <c r="N115" s="10"/>
      <c r="O115" s="10"/>
      <c r="P115" s="10"/>
    </row>
    <row r="116" customFormat="false" ht="15" hidden="false" customHeight="false" outlineLevel="0" collapsed="false">
      <c r="A116" s="30"/>
      <c r="B116" s="10"/>
      <c r="C116" s="10"/>
      <c r="D116" s="10"/>
      <c r="E116" s="10"/>
      <c r="F116" s="10"/>
      <c r="G116" s="10"/>
      <c r="H116" s="10"/>
      <c r="I116" s="10"/>
      <c r="J116" s="18"/>
      <c r="K116" s="31"/>
      <c r="L116" s="19" t="str">
        <f aca="false">IF(J116="","",J116*K116)</f>
        <v/>
      </c>
      <c r="M116" s="19" t="str">
        <f aca="false">IF(J116="","",J116+L116)</f>
        <v/>
      </c>
      <c r="N116" s="10"/>
      <c r="O116" s="10"/>
      <c r="P116" s="10"/>
    </row>
    <row r="117" customFormat="false" ht="15" hidden="false" customHeight="false" outlineLevel="0" collapsed="false">
      <c r="A117" s="30"/>
      <c r="B117" s="10"/>
      <c r="C117" s="10"/>
      <c r="D117" s="10"/>
      <c r="E117" s="10"/>
      <c r="F117" s="10"/>
      <c r="G117" s="10"/>
      <c r="H117" s="10"/>
      <c r="I117" s="10"/>
      <c r="J117" s="18"/>
      <c r="K117" s="31"/>
      <c r="L117" s="19" t="str">
        <f aca="false">IF(J117="","",J117*K117)</f>
        <v/>
      </c>
      <c r="M117" s="19" t="str">
        <f aca="false">IF(J117="","",J117+L117)</f>
        <v/>
      </c>
      <c r="N117" s="10"/>
      <c r="O117" s="10"/>
      <c r="P117" s="10"/>
    </row>
    <row r="118" customFormat="false" ht="15" hidden="false" customHeight="false" outlineLevel="0" collapsed="false">
      <c r="A118" s="30"/>
      <c r="B118" s="10"/>
      <c r="C118" s="10"/>
      <c r="D118" s="10"/>
      <c r="E118" s="10"/>
      <c r="F118" s="10"/>
      <c r="G118" s="10"/>
      <c r="H118" s="10"/>
      <c r="I118" s="10"/>
      <c r="J118" s="18"/>
      <c r="K118" s="31"/>
      <c r="L118" s="19" t="str">
        <f aca="false">IF(J118="","",J118*K118)</f>
        <v/>
      </c>
      <c r="M118" s="19" t="str">
        <f aca="false">IF(J118="","",J118+L118)</f>
        <v/>
      </c>
      <c r="N118" s="10"/>
      <c r="O118" s="10"/>
      <c r="P118" s="10"/>
    </row>
    <row r="119" customFormat="false" ht="15" hidden="false" customHeight="false" outlineLevel="0" collapsed="false">
      <c r="A119" s="30"/>
      <c r="B119" s="10"/>
      <c r="C119" s="10"/>
      <c r="D119" s="10"/>
      <c r="E119" s="10"/>
      <c r="F119" s="10"/>
      <c r="G119" s="10"/>
      <c r="H119" s="10"/>
      <c r="I119" s="10"/>
      <c r="J119" s="18"/>
      <c r="K119" s="31"/>
      <c r="L119" s="19" t="str">
        <f aca="false">IF(J119="","",J119*K119)</f>
        <v/>
      </c>
      <c r="M119" s="19" t="str">
        <f aca="false">IF(J119="","",J119+L119)</f>
        <v/>
      </c>
      <c r="N119" s="10"/>
      <c r="O119" s="10"/>
      <c r="P119" s="10"/>
    </row>
    <row r="120" customFormat="false" ht="15" hidden="false" customHeight="false" outlineLevel="0" collapsed="false">
      <c r="A120" s="30"/>
      <c r="B120" s="10"/>
      <c r="C120" s="10"/>
      <c r="D120" s="10"/>
      <c r="E120" s="10"/>
      <c r="F120" s="10"/>
      <c r="G120" s="10"/>
      <c r="H120" s="10"/>
      <c r="I120" s="10"/>
      <c r="J120" s="18"/>
      <c r="K120" s="31"/>
      <c r="L120" s="19" t="str">
        <f aca="false">IF(J120="","",J120*K120)</f>
        <v/>
      </c>
      <c r="M120" s="19" t="str">
        <f aca="false">IF(J120="","",J120+L120)</f>
        <v/>
      </c>
      <c r="N120" s="10"/>
      <c r="O120" s="10"/>
      <c r="P120" s="10"/>
    </row>
    <row r="121" customFormat="false" ht="15" hidden="false" customHeight="false" outlineLevel="0" collapsed="false">
      <c r="A121" s="30"/>
      <c r="B121" s="10"/>
      <c r="C121" s="10"/>
      <c r="D121" s="10"/>
      <c r="E121" s="10"/>
      <c r="F121" s="10"/>
      <c r="G121" s="10"/>
      <c r="H121" s="10"/>
      <c r="I121" s="10"/>
      <c r="J121" s="18"/>
      <c r="K121" s="31"/>
      <c r="L121" s="19" t="str">
        <f aca="false">IF(J121="","",J121*K121)</f>
        <v/>
      </c>
      <c r="M121" s="19" t="str">
        <f aca="false">IF(J121="","",J121+L121)</f>
        <v/>
      </c>
      <c r="N121" s="10"/>
      <c r="O121" s="10"/>
      <c r="P121" s="10"/>
    </row>
    <row r="122" customFormat="false" ht="15" hidden="false" customHeight="false" outlineLevel="0" collapsed="false">
      <c r="A122" s="30"/>
      <c r="B122" s="10"/>
      <c r="C122" s="10"/>
      <c r="D122" s="10"/>
      <c r="E122" s="10"/>
      <c r="F122" s="10"/>
      <c r="G122" s="10"/>
      <c r="H122" s="10"/>
      <c r="I122" s="10"/>
      <c r="J122" s="18"/>
      <c r="K122" s="31"/>
      <c r="L122" s="19" t="str">
        <f aca="false">IF(J122="","",J122*K122)</f>
        <v/>
      </c>
      <c r="M122" s="19" t="str">
        <f aca="false">IF(J122="","",J122+L122)</f>
        <v/>
      </c>
      <c r="N122" s="10"/>
      <c r="O122" s="10"/>
      <c r="P122" s="10"/>
    </row>
    <row r="123" customFormat="false" ht="15" hidden="false" customHeight="false" outlineLevel="0" collapsed="false">
      <c r="A123" s="30"/>
      <c r="B123" s="10"/>
      <c r="C123" s="10"/>
      <c r="D123" s="10"/>
      <c r="E123" s="10"/>
      <c r="F123" s="10"/>
      <c r="G123" s="10"/>
      <c r="H123" s="10"/>
      <c r="I123" s="10"/>
      <c r="J123" s="18"/>
      <c r="K123" s="31"/>
      <c r="L123" s="19" t="str">
        <f aca="false">IF(J123="","",J123*K123)</f>
        <v/>
      </c>
      <c r="M123" s="19" t="str">
        <f aca="false">IF(J123="","",J123+L123)</f>
        <v/>
      </c>
      <c r="N123" s="10"/>
      <c r="O123" s="10"/>
      <c r="P123" s="10"/>
    </row>
    <row r="124" customFormat="false" ht="15" hidden="false" customHeight="false" outlineLevel="0" collapsed="false">
      <c r="A124" s="30"/>
      <c r="B124" s="10"/>
      <c r="C124" s="10"/>
      <c r="D124" s="10"/>
      <c r="E124" s="10"/>
      <c r="F124" s="10"/>
      <c r="G124" s="10"/>
      <c r="H124" s="10"/>
      <c r="I124" s="10"/>
      <c r="J124" s="18"/>
      <c r="K124" s="31"/>
      <c r="L124" s="19" t="str">
        <f aca="false">IF(J124="","",J124*K124)</f>
        <v/>
      </c>
      <c r="M124" s="19" t="str">
        <f aca="false">IF(J124="","",J124+L124)</f>
        <v/>
      </c>
      <c r="N124" s="10"/>
      <c r="O124" s="10"/>
      <c r="P124" s="10"/>
    </row>
    <row r="125" customFormat="false" ht="15" hidden="false" customHeight="false" outlineLevel="0" collapsed="false">
      <c r="A125" s="30"/>
      <c r="B125" s="10"/>
      <c r="C125" s="10"/>
      <c r="D125" s="10"/>
      <c r="E125" s="10"/>
      <c r="F125" s="10"/>
      <c r="G125" s="10"/>
      <c r="H125" s="10"/>
      <c r="I125" s="10"/>
      <c r="J125" s="18"/>
      <c r="K125" s="31"/>
      <c r="L125" s="19" t="str">
        <f aca="false">IF(J125="","",J125*K125)</f>
        <v/>
      </c>
      <c r="M125" s="19" t="str">
        <f aca="false">IF(J125="","",J125+L125)</f>
        <v/>
      </c>
      <c r="N125" s="10"/>
      <c r="O125" s="10"/>
      <c r="P125" s="10"/>
    </row>
    <row r="126" customFormat="false" ht="15" hidden="false" customHeight="false" outlineLevel="0" collapsed="false">
      <c r="A126" s="30"/>
      <c r="B126" s="10"/>
      <c r="C126" s="10"/>
      <c r="D126" s="10"/>
      <c r="E126" s="10"/>
      <c r="F126" s="10"/>
      <c r="G126" s="10"/>
      <c r="H126" s="10"/>
      <c r="I126" s="10"/>
      <c r="J126" s="18"/>
      <c r="K126" s="31"/>
      <c r="L126" s="19" t="str">
        <f aca="false">IF(J126="","",J126*K126)</f>
        <v/>
      </c>
      <c r="M126" s="19" t="str">
        <f aca="false">IF(J126="","",J126+L126)</f>
        <v/>
      </c>
      <c r="N126" s="10"/>
      <c r="O126" s="10"/>
      <c r="P126" s="10"/>
    </row>
    <row r="127" customFormat="false" ht="15" hidden="false" customHeight="false" outlineLevel="0" collapsed="false">
      <c r="A127" s="30"/>
      <c r="B127" s="10"/>
      <c r="C127" s="10"/>
      <c r="D127" s="10"/>
      <c r="E127" s="10"/>
      <c r="F127" s="10"/>
      <c r="G127" s="10"/>
      <c r="H127" s="10"/>
      <c r="I127" s="10"/>
      <c r="J127" s="18"/>
      <c r="K127" s="31"/>
      <c r="L127" s="19" t="str">
        <f aca="false">IF(J127="","",J127*K127)</f>
        <v/>
      </c>
      <c r="M127" s="19" t="str">
        <f aca="false">IF(J127="","",J127+L127)</f>
        <v/>
      </c>
      <c r="N127" s="10"/>
      <c r="O127" s="10"/>
      <c r="P127" s="10"/>
    </row>
    <row r="128" customFormat="false" ht="15" hidden="false" customHeight="false" outlineLevel="0" collapsed="false">
      <c r="A128" s="30"/>
      <c r="B128" s="10"/>
      <c r="C128" s="10"/>
      <c r="D128" s="10"/>
      <c r="E128" s="10"/>
      <c r="F128" s="10"/>
      <c r="G128" s="10"/>
      <c r="H128" s="10"/>
      <c r="I128" s="10"/>
      <c r="J128" s="18"/>
      <c r="K128" s="31"/>
      <c r="L128" s="19" t="str">
        <f aca="false">IF(J128="","",J128*K128)</f>
        <v/>
      </c>
      <c r="M128" s="19" t="str">
        <f aca="false">IF(J128="","",J128+L128)</f>
        <v/>
      </c>
      <c r="N128" s="10"/>
      <c r="O128" s="10"/>
      <c r="P128" s="10"/>
    </row>
    <row r="129" customFormat="false" ht="15" hidden="false" customHeight="false" outlineLevel="0" collapsed="false">
      <c r="A129" s="30"/>
      <c r="B129" s="10"/>
      <c r="C129" s="10"/>
      <c r="D129" s="10"/>
      <c r="E129" s="10"/>
      <c r="F129" s="10"/>
      <c r="G129" s="10"/>
      <c r="H129" s="10"/>
      <c r="I129" s="10"/>
      <c r="J129" s="18"/>
      <c r="K129" s="31"/>
      <c r="L129" s="19" t="str">
        <f aca="false">IF(J129="","",J129*K129)</f>
        <v/>
      </c>
      <c r="M129" s="19" t="str">
        <f aca="false">IF(J129="","",J129+L129)</f>
        <v/>
      </c>
      <c r="N129" s="10"/>
      <c r="O129" s="10"/>
      <c r="P129" s="10"/>
    </row>
    <row r="130" customFormat="false" ht="15" hidden="false" customHeight="false" outlineLevel="0" collapsed="false">
      <c r="A130" s="30"/>
      <c r="B130" s="10"/>
      <c r="C130" s="10"/>
      <c r="D130" s="10"/>
      <c r="E130" s="10"/>
      <c r="F130" s="10"/>
      <c r="G130" s="10"/>
      <c r="H130" s="10"/>
      <c r="I130" s="10"/>
      <c r="J130" s="18"/>
      <c r="K130" s="31"/>
      <c r="L130" s="19" t="str">
        <f aca="false">IF(J130="","",J130*K130)</f>
        <v/>
      </c>
      <c r="M130" s="19" t="str">
        <f aca="false">IF(J130="","",J130+L130)</f>
        <v/>
      </c>
      <c r="N130" s="10"/>
      <c r="O130" s="10"/>
      <c r="P130" s="10"/>
    </row>
    <row r="131" customFormat="false" ht="15" hidden="false" customHeight="false" outlineLevel="0" collapsed="false">
      <c r="A131" s="30"/>
      <c r="B131" s="10"/>
      <c r="C131" s="10"/>
      <c r="D131" s="10"/>
      <c r="E131" s="10"/>
      <c r="F131" s="10"/>
      <c r="G131" s="10"/>
      <c r="H131" s="10"/>
      <c r="I131" s="10"/>
      <c r="J131" s="18"/>
      <c r="K131" s="31"/>
      <c r="L131" s="19" t="str">
        <f aca="false">IF(J131="","",J131*K131)</f>
        <v/>
      </c>
      <c r="M131" s="19" t="str">
        <f aca="false">IF(J131="","",J131+L131)</f>
        <v/>
      </c>
      <c r="N131" s="10"/>
      <c r="O131" s="10"/>
      <c r="P131" s="10"/>
    </row>
    <row r="132" customFormat="false" ht="15" hidden="false" customHeight="false" outlineLevel="0" collapsed="false">
      <c r="A132" s="30"/>
      <c r="B132" s="10"/>
      <c r="C132" s="10"/>
      <c r="D132" s="10"/>
      <c r="E132" s="10"/>
      <c r="F132" s="10"/>
      <c r="G132" s="10"/>
      <c r="H132" s="10"/>
      <c r="I132" s="10"/>
      <c r="J132" s="18"/>
      <c r="K132" s="31"/>
      <c r="L132" s="19" t="str">
        <f aca="false">IF(J132="","",J132*K132)</f>
        <v/>
      </c>
      <c r="M132" s="19" t="str">
        <f aca="false">IF(J132="","",J132+L132)</f>
        <v/>
      </c>
      <c r="N132" s="10"/>
      <c r="O132" s="10"/>
      <c r="P132" s="10"/>
    </row>
    <row r="133" customFormat="false" ht="15" hidden="false" customHeight="false" outlineLevel="0" collapsed="false">
      <c r="A133" s="30"/>
      <c r="B133" s="10"/>
      <c r="C133" s="10"/>
      <c r="D133" s="10"/>
      <c r="E133" s="10"/>
      <c r="F133" s="10"/>
      <c r="G133" s="10"/>
      <c r="H133" s="10"/>
      <c r="I133" s="10"/>
      <c r="J133" s="18"/>
      <c r="K133" s="31"/>
      <c r="L133" s="19" t="str">
        <f aca="false">IF(J133="","",J133*K133)</f>
        <v/>
      </c>
      <c r="M133" s="19" t="str">
        <f aca="false">IF(J133="","",J133+L133)</f>
        <v/>
      </c>
      <c r="N133" s="10"/>
      <c r="O133" s="10"/>
      <c r="P133" s="10"/>
    </row>
    <row r="134" customFormat="false" ht="15" hidden="false" customHeight="false" outlineLevel="0" collapsed="false">
      <c r="A134" s="30"/>
      <c r="B134" s="10"/>
      <c r="C134" s="10"/>
      <c r="D134" s="10"/>
      <c r="E134" s="10"/>
      <c r="F134" s="10"/>
      <c r="G134" s="10"/>
      <c r="H134" s="10"/>
      <c r="I134" s="10"/>
      <c r="J134" s="18"/>
      <c r="K134" s="31"/>
      <c r="L134" s="19" t="str">
        <f aca="false">IF(J134="","",J134*K134)</f>
        <v/>
      </c>
      <c r="M134" s="19" t="str">
        <f aca="false">IF(J134="","",J134+L134)</f>
        <v/>
      </c>
      <c r="N134" s="10"/>
      <c r="O134" s="10"/>
      <c r="P134" s="10"/>
    </row>
    <row r="135" customFormat="false" ht="15" hidden="false" customHeight="false" outlineLevel="0" collapsed="false">
      <c r="A135" s="30"/>
      <c r="B135" s="10"/>
      <c r="C135" s="10"/>
      <c r="D135" s="10"/>
      <c r="E135" s="10"/>
      <c r="F135" s="10"/>
      <c r="G135" s="10"/>
      <c r="H135" s="10"/>
      <c r="I135" s="10"/>
      <c r="J135" s="18"/>
      <c r="K135" s="31"/>
      <c r="L135" s="19" t="str">
        <f aca="false">IF(J135="","",J135*K135)</f>
        <v/>
      </c>
      <c r="M135" s="19" t="str">
        <f aca="false">IF(J135="","",J135+L135)</f>
        <v/>
      </c>
      <c r="N135" s="10"/>
      <c r="O135" s="10"/>
      <c r="P135" s="10"/>
    </row>
    <row r="136" customFormat="false" ht="15" hidden="false" customHeight="false" outlineLevel="0" collapsed="false">
      <c r="A136" s="30"/>
      <c r="B136" s="10"/>
      <c r="C136" s="10"/>
      <c r="D136" s="10"/>
      <c r="E136" s="10"/>
      <c r="F136" s="10"/>
      <c r="G136" s="10"/>
      <c r="H136" s="10"/>
      <c r="I136" s="10"/>
      <c r="J136" s="18"/>
      <c r="K136" s="31"/>
      <c r="L136" s="19" t="str">
        <f aca="false">IF(J136="","",J136*K136)</f>
        <v/>
      </c>
      <c r="M136" s="19" t="str">
        <f aca="false">IF(J136="","",J136+L136)</f>
        <v/>
      </c>
      <c r="N136" s="10"/>
      <c r="O136" s="10"/>
      <c r="P136" s="10"/>
    </row>
    <row r="137" customFormat="false" ht="15" hidden="false" customHeight="false" outlineLevel="0" collapsed="false">
      <c r="A137" s="30"/>
      <c r="B137" s="10"/>
      <c r="C137" s="10"/>
      <c r="D137" s="10"/>
      <c r="E137" s="10"/>
      <c r="F137" s="10"/>
      <c r="G137" s="10"/>
      <c r="H137" s="10"/>
      <c r="I137" s="10"/>
      <c r="J137" s="18"/>
      <c r="K137" s="31"/>
      <c r="L137" s="19" t="str">
        <f aca="false">IF(J137="","",J137*K137)</f>
        <v/>
      </c>
      <c r="M137" s="19" t="str">
        <f aca="false">IF(J137="","",J137+L137)</f>
        <v/>
      </c>
      <c r="N137" s="10"/>
      <c r="O137" s="10"/>
      <c r="P137" s="10"/>
    </row>
    <row r="138" customFormat="false" ht="15" hidden="false" customHeight="false" outlineLevel="0" collapsed="false">
      <c r="A138" s="30"/>
      <c r="B138" s="10"/>
      <c r="C138" s="10"/>
      <c r="D138" s="10"/>
      <c r="E138" s="10"/>
      <c r="F138" s="10"/>
      <c r="G138" s="10"/>
      <c r="H138" s="10"/>
      <c r="I138" s="10"/>
      <c r="J138" s="18"/>
      <c r="K138" s="31"/>
      <c r="L138" s="19" t="str">
        <f aca="false">IF(J138="","",J138*K138)</f>
        <v/>
      </c>
      <c r="M138" s="19" t="str">
        <f aca="false">IF(J138="","",J138+L138)</f>
        <v/>
      </c>
      <c r="N138" s="10"/>
      <c r="O138" s="10"/>
      <c r="P138" s="10"/>
    </row>
    <row r="139" customFormat="false" ht="15" hidden="false" customHeight="false" outlineLevel="0" collapsed="false">
      <c r="A139" s="30"/>
      <c r="B139" s="10"/>
      <c r="C139" s="10"/>
      <c r="D139" s="10"/>
      <c r="E139" s="10"/>
      <c r="F139" s="10"/>
      <c r="G139" s="10"/>
      <c r="H139" s="10"/>
      <c r="I139" s="10"/>
      <c r="J139" s="18"/>
      <c r="K139" s="31"/>
      <c r="L139" s="19" t="str">
        <f aca="false">IF(J139="","",J139*K139)</f>
        <v/>
      </c>
      <c r="M139" s="19" t="str">
        <f aca="false">IF(J139="","",J139+L139)</f>
        <v/>
      </c>
      <c r="N139" s="10"/>
      <c r="O139" s="10"/>
      <c r="P139" s="10"/>
    </row>
    <row r="140" customFormat="false" ht="15" hidden="false" customHeight="false" outlineLevel="0" collapsed="false">
      <c r="A140" s="30"/>
      <c r="B140" s="10"/>
      <c r="C140" s="10"/>
      <c r="D140" s="10"/>
      <c r="E140" s="10"/>
      <c r="F140" s="10"/>
      <c r="G140" s="10"/>
      <c r="H140" s="10"/>
      <c r="I140" s="10"/>
      <c r="J140" s="18"/>
      <c r="K140" s="31"/>
      <c r="L140" s="19" t="str">
        <f aca="false">IF(J140="","",J140*K140)</f>
        <v/>
      </c>
      <c r="M140" s="19" t="str">
        <f aca="false">IF(J140="","",J140+L140)</f>
        <v/>
      </c>
      <c r="N140" s="10"/>
      <c r="O140" s="10"/>
      <c r="P140" s="10"/>
    </row>
    <row r="141" customFormat="false" ht="15" hidden="false" customHeight="false" outlineLevel="0" collapsed="false">
      <c r="A141" s="30"/>
      <c r="B141" s="10"/>
      <c r="C141" s="10"/>
      <c r="D141" s="10"/>
      <c r="E141" s="10"/>
      <c r="F141" s="10"/>
      <c r="G141" s="10"/>
      <c r="H141" s="10"/>
      <c r="I141" s="10"/>
      <c r="J141" s="18"/>
      <c r="K141" s="31"/>
      <c r="L141" s="19" t="str">
        <f aca="false">IF(J141="","",J141*K141)</f>
        <v/>
      </c>
      <c r="M141" s="19" t="str">
        <f aca="false">IF(J141="","",J141+L141)</f>
        <v/>
      </c>
      <c r="N141" s="10"/>
      <c r="O141" s="10"/>
      <c r="P141" s="10"/>
    </row>
    <row r="142" customFormat="false" ht="15" hidden="false" customHeight="false" outlineLevel="0" collapsed="false">
      <c r="A142" s="30"/>
      <c r="B142" s="10"/>
      <c r="C142" s="10"/>
      <c r="D142" s="10"/>
      <c r="E142" s="10"/>
      <c r="F142" s="10"/>
      <c r="G142" s="10"/>
      <c r="H142" s="10"/>
      <c r="I142" s="10"/>
      <c r="J142" s="18"/>
      <c r="K142" s="31"/>
      <c r="L142" s="19" t="str">
        <f aca="false">IF(J142="","",J142*K142)</f>
        <v/>
      </c>
      <c r="M142" s="19" t="str">
        <f aca="false">IF(J142="","",J142+L142)</f>
        <v/>
      </c>
      <c r="N142" s="10"/>
      <c r="O142" s="10"/>
      <c r="P142" s="10"/>
    </row>
    <row r="143" customFormat="false" ht="15" hidden="false" customHeight="false" outlineLevel="0" collapsed="false">
      <c r="A143" s="30"/>
      <c r="B143" s="10"/>
      <c r="C143" s="10"/>
      <c r="D143" s="10"/>
      <c r="E143" s="10"/>
      <c r="F143" s="10"/>
      <c r="G143" s="10"/>
      <c r="H143" s="10"/>
      <c r="I143" s="10"/>
      <c r="J143" s="18"/>
      <c r="K143" s="31"/>
      <c r="L143" s="19" t="str">
        <f aca="false">IF(J143="","",J143*K143)</f>
        <v/>
      </c>
      <c r="M143" s="19" t="str">
        <f aca="false">IF(J143="","",J143+L143)</f>
        <v/>
      </c>
      <c r="N143" s="10"/>
      <c r="O143" s="10"/>
      <c r="P143" s="10"/>
    </row>
    <row r="144" customFormat="false" ht="15" hidden="false" customHeight="false" outlineLevel="0" collapsed="false">
      <c r="A144" s="30"/>
      <c r="B144" s="10"/>
      <c r="C144" s="10"/>
      <c r="D144" s="10"/>
      <c r="E144" s="10"/>
      <c r="F144" s="10"/>
      <c r="G144" s="10"/>
      <c r="H144" s="10"/>
      <c r="I144" s="10"/>
      <c r="J144" s="18"/>
      <c r="K144" s="31"/>
      <c r="L144" s="19" t="str">
        <f aca="false">IF(J144="","",J144*K144)</f>
        <v/>
      </c>
      <c r="M144" s="19" t="str">
        <f aca="false">IF(J144="","",J144+L144)</f>
        <v/>
      </c>
      <c r="N144" s="10"/>
      <c r="O144" s="10"/>
      <c r="P144" s="10"/>
    </row>
    <row r="145" customFormat="false" ht="15" hidden="false" customHeight="false" outlineLevel="0" collapsed="false">
      <c r="A145" s="30"/>
      <c r="B145" s="10"/>
      <c r="C145" s="10"/>
      <c r="D145" s="10"/>
      <c r="E145" s="10"/>
      <c r="F145" s="10"/>
      <c r="G145" s="10"/>
      <c r="H145" s="10"/>
      <c r="I145" s="10"/>
      <c r="J145" s="18"/>
      <c r="K145" s="31"/>
      <c r="L145" s="19" t="str">
        <f aca="false">IF(J145="","",J145*K145)</f>
        <v/>
      </c>
      <c r="M145" s="19" t="str">
        <f aca="false">IF(J145="","",J145+L145)</f>
        <v/>
      </c>
      <c r="N145" s="10"/>
      <c r="O145" s="10"/>
      <c r="P145" s="10"/>
    </row>
    <row r="146" customFormat="false" ht="15" hidden="false" customHeight="false" outlineLevel="0" collapsed="false">
      <c r="A146" s="30"/>
      <c r="B146" s="10"/>
      <c r="C146" s="10"/>
      <c r="D146" s="10"/>
      <c r="E146" s="10"/>
      <c r="F146" s="10"/>
      <c r="G146" s="10"/>
      <c r="H146" s="10"/>
      <c r="I146" s="10"/>
      <c r="J146" s="18"/>
      <c r="K146" s="31"/>
      <c r="L146" s="19" t="str">
        <f aca="false">IF(J146="","",J146*K146)</f>
        <v/>
      </c>
      <c r="M146" s="19" t="str">
        <f aca="false">IF(J146="","",J146+L146)</f>
        <v/>
      </c>
      <c r="N146" s="10"/>
      <c r="O146" s="10"/>
      <c r="P146" s="10"/>
    </row>
    <row r="147" customFormat="false" ht="15" hidden="false" customHeight="false" outlineLevel="0" collapsed="false">
      <c r="A147" s="30"/>
      <c r="B147" s="10"/>
      <c r="C147" s="10"/>
      <c r="D147" s="10"/>
      <c r="E147" s="10"/>
      <c r="F147" s="10"/>
      <c r="G147" s="10"/>
      <c r="H147" s="10"/>
      <c r="I147" s="10"/>
      <c r="J147" s="18"/>
      <c r="K147" s="31"/>
      <c r="L147" s="19" t="str">
        <f aca="false">IF(J147="","",J147*K147)</f>
        <v/>
      </c>
      <c r="M147" s="19" t="str">
        <f aca="false">IF(J147="","",J147+L147)</f>
        <v/>
      </c>
      <c r="N147" s="10"/>
      <c r="O147" s="10"/>
      <c r="P147" s="10"/>
    </row>
    <row r="148" customFormat="false" ht="15" hidden="false" customHeight="false" outlineLevel="0" collapsed="false">
      <c r="A148" s="30"/>
      <c r="B148" s="10"/>
      <c r="C148" s="10"/>
      <c r="D148" s="10"/>
      <c r="E148" s="10"/>
      <c r="F148" s="10"/>
      <c r="G148" s="10"/>
      <c r="H148" s="10"/>
      <c r="I148" s="10"/>
      <c r="J148" s="18"/>
      <c r="K148" s="31"/>
      <c r="L148" s="19" t="str">
        <f aca="false">IF(J148="","",J148*K148)</f>
        <v/>
      </c>
      <c r="M148" s="19" t="str">
        <f aca="false">IF(J148="","",J148+L148)</f>
        <v/>
      </c>
      <c r="N148" s="10"/>
      <c r="O148" s="10"/>
      <c r="P148" s="10"/>
    </row>
    <row r="149" customFormat="false" ht="15" hidden="false" customHeight="false" outlineLevel="0" collapsed="false">
      <c r="A149" s="30"/>
      <c r="B149" s="10"/>
      <c r="C149" s="10"/>
      <c r="D149" s="10"/>
      <c r="E149" s="10"/>
      <c r="F149" s="10"/>
      <c r="G149" s="10"/>
      <c r="H149" s="10"/>
      <c r="I149" s="10"/>
      <c r="J149" s="18"/>
      <c r="K149" s="31"/>
      <c r="L149" s="19" t="str">
        <f aca="false">IF(J149="","",J149*K149)</f>
        <v/>
      </c>
      <c r="M149" s="19" t="str">
        <f aca="false">IF(J149="","",J149+L149)</f>
        <v/>
      </c>
      <c r="N149" s="10"/>
      <c r="O149" s="10"/>
      <c r="P149" s="10"/>
    </row>
    <row r="150" customFormat="false" ht="15" hidden="false" customHeight="false" outlineLevel="0" collapsed="false">
      <c r="A150" s="30"/>
      <c r="B150" s="10"/>
      <c r="C150" s="10"/>
      <c r="D150" s="10"/>
      <c r="E150" s="10"/>
      <c r="F150" s="10"/>
      <c r="G150" s="10"/>
      <c r="H150" s="10"/>
      <c r="I150" s="10"/>
      <c r="J150" s="18"/>
      <c r="K150" s="31"/>
      <c r="L150" s="19" t="str">
        <f aca="false">IF(J150="","",J150*K150)</f>
        <v/>
      </c>
      <c r="M150" s="19" t="str">
        <f aca="false">IF(J150="","",J150+L150)</f>
        <v/>
      </c>
      <c r="N150" s="10"/>
      <c r="O150" s="10"/>
      <c r="P150" s="10"/>
    </row>
    <row r="151" customFormat="false" ht="15" hidden="false" customHeight="false" outlineLevel="0" collapsed="false">
      <c r="A151" s="30"/>
      <c r="B151" s="10"/>
      <c r="C151" s="10"/>
      <c r="D151" s="10"/>
      <c r="E151" s="10"/>
      <c r="F151" s="10"/>
      <c r="G151" s="10"/>
      <c r="H151" s="10"/>
      <c r="I151" s="10"/>
      <c r="J151" s="18"/>
      <c r="K151" s="31"/>
      <c r="L151" s="19" t="str">
        <f aca="false">IF(J151="","",J151*K151)</f>
        <v/>
      </c>
      <c r="M151" s="19" t="str">
        <f aca="false">IF(J151="","",J151+L151)</f>
        <v/>
      </c>
      <c r="N151" s="10"/>
      <c r="O151" s="10"/>
      <c r="P151" s="10"/>
    </row>
    <row r="152" customFormat="false" ht="15" hidden="false" customHeight="false" outlineLevel="0" collapsed="false">
      <c r="A152" s="30"/>
      <c r="B152" s="10"/>
      <c r="C152" s="10"/>
      <c r="D152" s="10"/>
      <c r="E152" s="10"/>
      <c r="F152" s="10"/>
      <c r="G152" s="10"/>
      <c r="H152" s="10"/>
      <c r="I152" s="10"/>
      <c r="J152" s="18"/>
      <c r="K152" s="31"/>
      <c r="L152" s="19" t="str">
        <f aca="false">IF(J152="","",J152*K152)</f>
        <v/>
      </c>
      <c r="M152" s="19" t="str">
        <f aca="false">IF(J152="","",J152+L152)</f>
        <v/>
      </c>
      <c r="N152" s="10"/>
      <c r="O152" s="10"/>
      <c r="P152" s="10"/>
    </row>
    <row r="153" customFormat="false" ht="15" hidden="false" customHeight="false" outlineLevel="0" collapsed="false">
      <c r="A153" s="30"/>
      <c r="B153" s="10"/>
      <c r="C153" s="10"/>
      <c r="D153" s="10"/>
      <c r="E153" s="10"/>
      <c r="F153" s="10"/>
      <c r="G153" s="10"/>
      <c r="H153" s="10"/>
      <c r="I153" s="10"/>
      <c r="J153" s="18"/>
      <c r="K153" s="31"/>
      <c r="L153" s="19" t="str">
        <f aca="false">IF(J153="","",J153*K153)</f>
        <v/>
      </c>
      <c r="M153" s="19" t="str">
        <f aca="false">IF(J153="","",J153+L153)</f>
        <v/>
      </c>
      <c r="N153" s="10"/>
      <c r="O153" s="10"/>
      <c r="P153" s="10"/>
    </row>
    <row r="154" customFormat="false" ht="15" hidden="false" customHeight="false" outlineLevel="0" collapsed="false">
      <c r="A154" s="30"/>
      <c r="B154" s="10"/>
      <c r="C154" s="10"/>
      <c r="D154" s="10"/>
      <c r="E154" s="10"/>
      <c r="F154" s="10"/>
      <c r="G154" s="10"/>
      <c r="H154" s="10"/>
      <c r="I154" s="10"/>
      <c r="J154" s="18"/>
      <c r="K154" s="31"/>
      <c r="L154" s="19" t="str">
        <f aca="false">IF(J154="","",J154*K154)</f>
        <v/>
      </c>
      <c r="M154" s="19" t="str">
        <f aca="false">IF(J154="","",J154+L154)</f>
        <v/>
      </c>
      <c r="N154" s="10"/>
      <c r="O154" s="10"/>
      <c r="P154" s="10"/>
    </row>
    <row r="155" customFormat="false" ht="15" hidden="false" customHeight="false" outlineLevel="0" collapsed="false">
      <c r="A155" s="30"/>
      <c r="B155" s="10"/>
      <c r="C155" s="10"/>
      <c r="D155" s="10"/>
      <c r="E155" s="10"/>
      <c r="F155" s="10"/>
      <c r="G155" s="10"/>
      <c r="H155" s="10"/>
      <c r="I155" s="10"/>
      <c r="J155" s="18"/>
      <c r="K155" s="31"/>
      <c r="L155" s="19" t="str">
        <f aca="false">IF(J155="","",J155*K155)</f>
        <v/>
      </c>
      <c r="M155" s="19" t="str">
        <f aca="false">IF(J155="","",J155+L155)</f>
        <v/>
      </c>
      <c r="N155" s="10"/>
      <c r="O155" s="10"/>
      <c r="P155" s="10"/>
    </row>
    <row r="156" customFormat="false" ht="15" hidden="false" customHeight="false" outlineLevel="0" collapsed="false">
      <c r="A156" s="30"/>
      <c r="B156" s="10"/>
      <c r="C156" s="10"/>
      <c r="D156" s="10"/>
      <c r="E156" s="10"/>
      <c r="F156" s="10"/>
      <c r="G156" s="10"/>
      <c r="H156" s="10"/>
      <c r="I156" s="10"/>
      <c r="J156" s="18"/>
      <c r="K156" s="31"/>
      <c r="L156" s="19" t="str">
        <f aca="false">IF(J156="","",J156*K156)</f>
        <v/>
      </c>
      <c r="M156" s="19" t="str">
        <f aca="false">IF(J156="","",J156+L156)</f>
        <v/>
      </c>
      <c r="N156" s="10"/>
      <c r="O156" s="10"/>
      <c r="P156" s="10"/>
    </row>
    <row r="157" customFormat="false" ht="15" hidden="false" customHeight="false" outlineLevel="0" collapsed="false">
      <c r="A157" s="30"/>
      <c r="B157" s="10"/>
      <c r="C157" s="10"/>
      <c r="D157" s="10"/>
      <c r="E157" s="10"/>
      <c r="F157" s="10"/>
      <c r="G157" s="10"/>
      <c r="H157" s="10"/>
      <c r="I157" s="10"/>
      <c r="J157" s="18"/>
      <c r="K157" s="31"/>
      <c r="L157" s="19" t="str">
        <f aca="false">IF(J157="","",J157*K157)</f>
        <v/>
      </c>
      <c r="M157" s="19" t="str">
        <f aca="false">IF(J157="","",J157+L157)</f>
        <v/>
      </c>
      <c r="N157" s="10"/>
      <c r="O157" s="10"/>
      <c r="P157" s="10"/>
    </row>
    <row r="158" customFormat="false" ht="15" hidden="false" customHeight="false" outlineLevel="0" collapsed="false">
      <c r="A158" s="30"/>
      <c r="B158" s="10"/>
      <c r="C158" s="10"/>
      <c r="D158" s="10"/>
      <c r="E158" s="10"/>
      <c r="F158" s="10"/>
      <c r="G158" s="10"/>
      <c r="H158" s="10"/>
      <c r="I158" s="10"/>
      <c r="J158" s="18"/>
      <c r="K158" s="31"/>
      <c r="L158" s="19" t="str">
        <f aca="false">IF(J158="","",J158*K158)</f>
        <v/>
      </c>
      <c r="M158" s="19" t="str">
        <f aca="false">IF(J158="","",J158+L158)</f>
        <v/>
      </c>
      <c r="N158" s="10"/>
      <c r="O158" s="10"/>
      <c r="P158" s="10"/>
    </row>
    <row r="159" customFormat="false" ht="15" hidden="false" customHeight="false" outlineLevel="0" collapsed="false">
      <c r="A159" s="30"/>
      <c r="B159" s="10"/>
      <c r="C159" s="10"/>
      <c r="D159" s="10"/>
      <c r="E159" s="10"/>
      <c r="F159" s="10"/>
      <c r="G159" s="10"/>
      <c r="H159" s="10"/>
      <c r="I159" s="10"/>
      <c r="J159" s="18"/>
      <c r="K159" s="31"/>
      <c r="L159" s="19" t="str">
        <f aca="false">IF(J159="","",J159*K159)</f>
        <v/>
      </c>
      <c r="M159" s="19" t="str">
        <f aca="false">IF(J159="","",J159+L159)</f>
        <v/>
      </c>
      <c r="N159" s="10"/>
      <c r="O159" s="10"/>
      <c r="P159" s="10"/>
    </row>
    <row r="160" customFormat="false" ht="15" hidden="false" customHeight="false" outlineLevel="0" collapsed="false">
      <c r="A160" s="30"/>
      <c r="B160" s="10"/>
      <c r="C160" s="10"/>
      <c r="D160" s="10"/>
      <c r="E160" s="10"/>
      <c r="F160" s="10"/>
      <c r="G160" s="10"/>
      <c r="H160" s="10"/>
      <c r="I160" s="10"/>
      <c r="J160" s="18"/>
      <c r="K160" s="31"/>
      <c r="L160" s="19" t="str">
        <f aca="false">IF(J160="","",J160*K160)</f>
        <v/>
      </c>
      <c r="M160" s="19" t="str">
        <f aca="false">IF(J160="","",J160+L160)</f>
        <v/>
      </c>
      <c r="N160" s="10"/>
      <c r="O160" s="10"/>
      <c r="P160" s="10"/>
    </row>
    <row r="161" customFormat="false" ht="15" hidden="false" customHeight="false" outlineLevel="0" collapsed="false">
      <c r="A161" s="30"/>
      <c r="B161" s="10"/>
      <c r="C161" s="10"/>
      <c r="D161" s="10"/>
      <c r="E161" s="10"/>
      <c r="F161" s="10"/>
      <c r="G161" s="10"/>
      <c r="H161" s="10"/>
      <c r="I161" s="10"/>
      <c r="J161" s="18"/>
      <c r="K161" s="31"/>
      <c r="L161" s="19" t="str">
        <f aca="false">IF(J161="","",J161*K161)</f>
        <v/>
      </c>
      <c r="M161" s="19" t="str">
        <f aca="false">IF(J161="","",J161+L161)</f>
        <v/>
      </c>
      <c r="N161" s="10"/>
      <c r="O161" s="10"/>
      <c r="P161" s="10"/>
    </row>
    <row r="162" customFormat="false" ht="15" hidden="false" customHeight="false" outlineLevel="0" collapsed="false">
      <c r="A162" s="30"/>
      <c r="B162" s="10"/>
      <c r="C162" s="10"/>
      <c r="D162" s="10"/>
      <c r="E162" s="10"/>
      <c r="F162" s="10"/>
      <c r="G162" s="10"/>
      <c r="H162" s="10"/>
      <c r="I162" s="10"/>
      <c r="J162" s="18"/>
      <c r="K162" s="31"/>
      <c r="L162" s="19" t="str">
        <f aca="false">IF(J162="","",J162*K162)</f>
        <v/>
      </c>
      <c r="M162" s="19" t="str">
        <f aca="false">IF(J162="","",J162+L162)</f>
        <v/>
      </c>
      <c r="N162" s="10"/>
      <c r="O162" s="10"/>
      <c r="P162" s="10"/>
    </row>
    <row r="163" customFormat="false" ht="15" hidden="false" customHeight="false" outlineLevel="0" collapsed="false">
      <c r="A163" s="30"/>
      <c r="B163" s="10"/>
      <c r="C163" s="10"/>
      <c r="D163" s="10"/>
      <c r="E163" s="10"/>
      <c r="F163" s="10"/>
      <c r="G163" s="10"/>
      <c r="H163" s="10"/>
      <c r="I163" s="10"/>
      <c r="J163" s="18"/>
      <c r="K163" s="31"/>
      <c r="L163" s="19" t="str">
        <f aca="false">IF(J163="","",J163*K163)</f>
        <v/>
      </c>
      <c r="M163" s="19" t="str">
        <f aca="false">IF(J163="","",J163+L163)</f>
        <v/>
      </c>
      <c r="N163" s="10"/>
      <c r="O163" s="10"/>
      <c r="P163" s="10"/>
    </row>
    <row r="164" customFormat="false" ht="15" hidden="false" customHeight="false" outlineLevel="0" collapsed="false">
      <c r="A164" s="30"/>
      <c r="B164" s="10"/>
      <c r="C164" s="10"/>
      <c r="D164" s="10"/>
      <c r="E164" s="10"/>
      <c r="F164" s="10"/>
      <c r="G164" s="10"/>
      <c r="H164" s="10"/>
      <c r="I164" s="10"/>
      <c r="J164" s="18"/>
      <c r="K164" s="31"/>
      <c r="L164" s="19" t="str">
        <f aca="false">IF(J164="","",J164*K164)</f>
        <v/>
      </c>
      <c r="M164" s="19" t="str">
        <f aca="false">IF(J164="","",J164+L164)</f>
        <v/>
      </c>
      <c r="N164" s="10"/>
      <c r="O164" s="10"/>
      <c r="P164" s="10"/>
    </row>
    <row r="165" customFormat="false" ht="15" hidden="false" customHeight="false" outlineLevel="0" collapsed="false">
      <c r="A165" s="30"/>
      <c r="B165" s="10"/>
      <c r="C165" s="10"/>
      <c r="D165" s="10"/>
      <c r="E165" s="10"/>
      <c r="F165" s="10"/>
      <c r="G165" s="10"/>
      <c r="H165" s="10"/>
      <c r="I165" s="10"/>
      <c r="J165" s="18"/>
      <c r="K165" s="31"/>
      <c r="L165" s="19" t="str">
        <f aca="false">IF(J165="","",J165*K165)</f>
        <v/>
      </c>
      <c r="M165" s="19" t="str">
        <f aca="false">IF(J165="","",J165+L165)</f>
        <v/>
      </c>
      <c r="N165" s="10"/>
      <c r="O165" s="10"/>
      <c r="P165" s="10"/>
    </row>
    <row r="166" customFormat="false" ht="15" hidden="false" customHeight="false" outlineLevel="0" collapsed="false">
      <c r="A166" s="30"/>
      <c r="B166" s="10"/>
      <c r="C166" s="10"/>
      <c r="D166" s="10"/>
      <c r="E166" s="10"/>
      <c r="F166" s="10"/>
      <c r="G166" s="10"/>
      <c r="H166" s="10"/>
      <c r="I166" s="10"/>
      <c r="J166" s="18"/>
      <c r="K166" s="31"/>
      <c r="L166" s="19" t="str">
        <f aca="false">IF(J166="","",J166*K166)</f>
        <v/>
      </c>
      <c r="M166" s="19" t="str">
        <f aca="false">IF(J166="","",J166+L166)</f>
        <v/>
      </c>
      <c r="N166" s="10"/>
      <c r="O166" s="10"/>
      <c r="P166" s="10"/>
    </row>
    <row r="167" customFormat="false" ht="15" hidden="false" customHeight="false" outlineLevel="0" collapsed="false">
      <c r="A167" s="30"/>
      <c r="B167" s="10"/>
      <c r="C167" s="10"/>
      <c r="D167" s="10"/>
      <c r="E167" s="10"/>
      <c r="F167" s="10"/>
      <c r="G167" s="10"/>
      <c r="H167" s="10"/>
      <c r="I167" s="10"/>
      <c r="J167" s="18"/>
      <c r="K167" s="31"/>
      <c r="L167" s="19" t="str">
        <f aca="false">IF(J167="","",J167*K167)</f>
        <v/>
      </c>
      <c r="M167" s="19" t="str">
        <f aca="false">IF(J167="","",J167+L167)</f>
        <v/>
      </c>
      <c r="N167" s="10"/>
      <c r="O167" s="10"/>
      <c r="P167" s="10"/>
    </row>
    <row r="168" customFormat="false" ht="15" hidden="false" customHeight="false" outlineLevel="0" collapsed="false">
      <c r="A168" s="30"/>
      <c r="B168" s="10"/>
      <c r="C168" s="10"/>
      <c r="D168" s="10"/>
      <c r="E168" s="10"/>
      <c r="F168" s="10"/>
      <c r="G168" s="10"/>
      <c r="H168" s="10"/>
      <c r="I168" s="10"/>
      <c r="J168" s="18"/>
      <c r="K168" s="31"/>
      <c r="L168" s="19" t="str">
        <f aca="false">IF(J168="","",J168*K168)</f>
        <v/>
      </c>
      <c r="M168" s="19" t="str">
        <f aca="false">IF(J168="","",J168+L168)</f>
        <v/>
      </c>
      <c r="N168" s="10"/>
      <c r="O168" s="10"/>
      <c r="P168" s="10"/>
    </row>
    <row r="169" customFormat="false" ht="15" hidden="false" customHeight="false" outlineLevel="0" collapsed="false">
      <c r="A169" s="30"/>
      <c r="B169" s="10"/>
      <c r="C169" s="10"/>
      <c r="D169" s="10"/>
      <c r="E169" s="10"/>
      <c r="F169" s="10"/>
      <c r="G169" s="10"/>
      <c r="H169" s="10"/>
      <c r="I169" s="10"/>
      <c r="J169" s="18"/>
      <c r="K169" s="31"/>
      <c r="L169" s="19" t="str">
        <f aca="false">IF(J169="","",J169*K169)</f>
        <v/>
      </c>
      <c r="M169" s="19" t="str">
        <f aca="false">IF(J169="","",J169+L169)</f>
        <v/>
      </c>
      <c r="N169" s="10"/>
      <c r="O169" s="10"/>
      <c r="P169" s="10"/>
    </row>
    <row r="170" customFormat="false" ht="15" hidden="false" customHeight="false" outlineLevel="0" collapsed="false">
      <c r="A170" s="30"/>
      <c r="B170" s="10"/>
      <c r="C170" s="10"/>
      <c r="D170" s="10"/>
      <c r="E170" s="10"/>
      <c r="F170" s="10"/>
      <c r="G170" s="10"/>
      <c r="H170" s="10"/>
      <c r="I170" s="10"/>
      <c r="J170" s="18"/>
      <c r="K170" s="31"/>
      <c r="L170" s="19" t="str">
        <f aca="false">IF(J170="","",J170*K170)</f>
        <v/>
      </c>
      <c r="M170" s="19" t="str">
        <f aca="false">IF(J170="","",J170+L170)</f>
        <v/>
      </c>
      <c r="N170" s="10"/>
      <c r="O170" s="10"/>
      <c r="P170" s="10"/>
    </row>
    <row r="171" customFormat="false" ht="15" hidden="false" customHeight="false" outlineLevel="0" collapsed="false">
      <c r="A171" s="30"/>
      <c r="B171" s="10"/>
      <c r="C171" s="10"/>
      <c r="D171" s="10"/>
      <c r="E171" s="10"/>
      <c r="F171" s="10"/>
      <c r="G171" s="10"/>
      <c r="H171" s="10"/>
      <c r="I171" s="10"/>
      <c r="J171" s="18"/>
      <c r="K171" s="31"/>
      <c r="L171" s="19" t="str">
        <f aca="false">IF(J171="","",J171*K171)</f>
        <v/>
      </c>
      <c r="M171" s="19" t="str">
        <f aca="false">IF(J171="","",J171+L171)</f>
        <v/>
      </c>
      <c r="N171" s="10"/>
      <c r="O171" s="10"/>
      <c r="P171" s="10"/>
    </row>
    <row r="172" customFormat="false" ht="15" hidden="false" customHeight="false" outlineLevel="0" collapsed="false">
      <c r="A172" s="30"/>
      <c r="B172" s="10"/>
      <c r="C172" s="10"/>
      <c r="D172" s="10"/>
      <c r="E172" s="10"/>
      <c r="F172" s="10"/>
      <c r="G172" s="10"/>
      <c r="H172" s="10"/>
      <c r="I172" s="10"/>
      <c r="J172" s="18"/>
      <c r="K172" s="31"/>
      <c r="L172" s="19" t="str">
        <f aca="false">IF(J172="","",J172*K172)</f>
        <v/>
      </c>
      <c r="M172" s="19" t="str">
        <f aca="false">IF(J172="","",J172+L172)</f>
        <v/>
      </c>
      <c r="N172" s="10"/>
      <c r="O172" s="10"/>
      <c r="P172" s="10"/>
    </row>
    <row r="173" customFormat="false" ht="15" hidden="false" customHeight="false" outlineLevel="0" collapsed="false">
      <c r="A173" s="30"/>
      <c r="B173" s="10"/>
      <c r="C173" s="10"/>
      <c r="D173" s="10"/>
      <c r="E173" s="10"/>
      <c r="F173" s="10"/>
      <c r="G173" s="10"/>
      <c r="H173" s="10"/>
      <c r="I173" s="10"/>
      <c r="J173" s="18"/>
      <c r="K173" s="31"/>
      <c r="L173" s="19" t="str">
        <f aca="false">IF(J173="","",J173*K173)</f>
        <v/>
      </c>
      <c r="M173" s="19" t="str">
        <f aca="false">IF(J173="","",J173+L173)</f>
        <v/>
      </c>
      <c r="N173" s="10"/>
      <c r="O173" s="10"/>
      <c r="P173" s="10"/>
    </row>
    <row r="174" customFormat="false" ht="15" hidden="false" customHeight="false" outlineLevel="0" collapsed="false">
      <c r="A174" s="30"/>
      <c r="B174" s="10"/>
      <c r="C174" s="10"/>
      <c r="D174" s="10"/>
      <c r="E174" s="10"/>
      <c r="F174" s="10"/>
      <c r="G174" s="10"/>
      <c r="H174" s="10"/>
      <c r="I174" s="10"/>
      <c r="J174" s="18"/>
      <c r="K174" s="31"/>
      <c r="L174" s="19" t="str">
        <f aca="false">IF(J174="","",J174*K174)</f>
        <v/>
      </c>
      <c r="M174" s="19" t="str">
        <f aca="false">IF(J174="","",J174+L174)</f>
        <v/>
      </c>
      <c r="N174" s="10"/>
      <c r="O174" s="10"/>
      <c r="P174" s="10"/>
    </row>
    <row r="175" customFormat="false" ht="15" hidden="false" customHeight="false" outlineLevel="0" collapsed="false">
      <c r="A175" s="30"/>
      <c r="B175" s="10"/>
      <c r="C175" s="10"/>
      <c r="D175" s="10"/>
      <c r="E175" s="10"/>
      <c r="F175" s="10"/>
      <c r="G175" s="10"/>
      <c r="H175" s="10"/>
      <c r="I175" s="10"/>
      <c r="J175" s="18"/>
      <c r="K175" s="31"/>
      <c r="L175" s="19" t="str">
        <f aca="false">IF(J175="","",J175*K175)</f>
        <v/>
      </c>
      <c r="M175" s="19" t="str">
        <f aca="false">IF(J175="","",J175+L175)</f>
        <v/>
      </c>
      <c r="N175" s="10"/>
      <c r="O175" s="10"/>
      <c r="P175" s="10"/>
    </row>
    <row r="176" customFormat="false" ht="15" hidden="false" customHeight="false" outlineLevel="0" collapsed="false">
      <c r="A176" s="30"/>
      <c r="B176" s="10"/>
      <c r="C176" s="10"/>
      <c r="D176" s="10"/>
      <c r="E176" s="10"/>
      <c r="F176" s="10"/>
      <c r="G176" s="10"/>
      <c r="H176" s="10"/>
      <c r="I176" s="10"/>
      <c r="J176" s="18"/>
      <c r="K176" s="31"/>
      <c r="L176" s="19" t="str">
        <f aca="false">IF(J176="","",J176*K176)</f>
        <v/>
      </c>
      <c r="M176" s="19" t="str">
        <f aca="false">IF(J176="","",J176+L176)</f>
        <v/>
      </c>
      <c r="N176" s="10"/>
      <c r="O176" s="10"/>
      <c r="P176" s="10"/>
    </row>
    <row r="177" customFormat="false" ht="15" hidden="false" customHeight="false" outlineLevel="0" collapsed="false">
      <c r="A177" s="30"/>
      <c r="B177" s="10"/>
      <c r="C177" s="10"/>
      <c r="D177" s="10"/>
      <c r="E177" s="10"/>
      <c r="F177" s="10"/>
      <c r="G177" s="10"/>
      <c r="H177" s="10"/>
      <c r="I177" s="10"/>
      <c r="J177" s="18"/>
      <c r="K177" s="31"/>
      <c r="L177" s="19" t="str">
        <f aca="false">IF(J177="","",J177*K177)</f>
        <v/>
      </c>
      <c r="M177" s="19" t="str">
        <f aca="false">IF(J177="","",J177+L177)</f>
        <v/>
      </c>
      <c r="N177" s="10"/>
      <c r="O177" s="10"/>
      <c r="P177" s="10"/>
    </row>
    <row r="178" customFormat="false" ht="15" hidden="false" customHeight="false" outlineLevel="0" collapsed="false">
      <c r="A178" s="30"/>
      <c r="B178" s="10"/>
      <c r="C178" s="10"/>
      <c r="D178" s="10"/>
      <c r="E178" s="10"/>
      <c r="F178" s="10"/>
      <c r="G178" s="10"/>
      <c r="H178" s="10"/>
      <c r="I178" s="10"/>
      <c r="J178" s="18"/>
      <c r="K178" s="31"/>
      <c r="L178" s="19" t="str">
        <f aca="false">IF(J178="","",J178*K178)</f>
        <v/>
      </c>
      <c r="M178" s="19" t="str">
        <f aca="false">IF(J178="","",J178+L178)</f>
        <v/>
      </c>
      <c r="N178" s="10"/>
      <c r="O178" s="10"/>
      <c r="P178" s="10"/>
    </row>
    <row r="179" customFormat="false" ht="15" hidden="false" customHeight="false" outlineLevel="0" collapsed="false">
      <c r="A179" s="30"/>
      <c r="B179" s="10"/>
      <c r="C179" s="10"/>
      <c r="D179" s="10"/>
      <c r="E179" s="10"/>
      <c r="F179" s="10"/>
      <c r="G179" s="10"/>
      <c r="H179" s="10"/>
      <c r="I179" s="10"/>
      <c r="J179" s="18"/>
      <c r="K179" s="31"/>
      <c r="L179" s="19" t="str">
        <f aca="false">IF(J179="","",J179*K179)</f>
        <v/>
      </c>
      <c r="M179" s="19" t="str">
        <f aca="false">IF(J179="","",J179+L179)</f>
        <v/>
      </c>
      <c r="N179" s="10"/>
      <c r="O179" s="10"/>
      <c r="P179" s="10"/>
    </row>
    <row r="180" customFormat="false" ht="15" hidden="false" customHeight="false" outlineLevel="0" collapsed="false">
      <c r="A180" s="30"/>
      <c r="B180" s="10"/>
      <c r="C180" s="10"/>
      <c r="D180" s="10"/>
      <c r="E180" s="10"/>
      <c r="F180" s="10"/>
      <c r="G180" s="10"/>
      <c r="H180" s="10"/>
      <c r="I180" s="10"/>
      <c r="J180" s="18"/>
      <c r="K180" s="31"/>
      <c r="L180" s="19" t="str">
        <f aca="false">IF(J180="","",J180*K180)</f>
        <v/>
      </c>
      <c r="M180" s="19" t="str">
        <f aca="false">IF(J180="","",J180+L180)</f>
        <v/>
      </c>
      <c r="N180" s="10"/>
      <c r="O180" s="10"/>
      <c r="P180" s="10"/>
    </row>
    <row r="181" customFormat="false" ht="15" hidden="false" customHeight="false" outlineLevel="0" collapsed="false">
      <c r="A181" s="30"/>
      <c r="B181" s="10"/>
      <c r="C181" s="10"/>
      <c r="D181" s="10"/>
      <c r="E181" s="10"/>
      <c r="F181" s="10"/>
      <c r="G181" s="10"/>
      <c r="H181" s="10"/>
      <c r="I181" s="10"/>
      <c r="J181" s="18"/>
      <c r="K181" s="31"/>
      <c r="L181" s="19" t="str">
        <f aca="false">IF(J181="","",J181*K181)</f>
        <v/>
      </c>
      <c r="M181" s="19" t="str">
        <f aca="false">IF(J181="","",J181+L181)</f>
        <v/>
      </c>
      <c r="N181" s="10"/>
      <c r="O181" s="10"/>
      <c r="P181" s="10"/>
    </row>
    <row r="182" customFormat="false" ht="15" hidden="false" customHeight="false" outlineLevel="0" collapsed="false">
      <c r="A182" s="30"/>
      <c r="B182" s="10"/>
      <c r="C182" s="10"/>
      <c r="D182" s="10"/>
      <c r="E182" s="10"/>
      <c r="F182" s="10"/>
      <c r="G182" s="10"/>
      <c r="H182" s="10"/>
      <c r="I182" s="10"/>
      <c r="J182" s="18"/>
      <c r="K182" s="31"/>
      <c r="L182" s="19" t="str">
        <f aca="false">IF(J182="","",J182*K182)</f>
        <v/>
      </c>
      <c r="M182" s="19" t="str">
        <f aca="false">IF(J182="","",J182+L182)</f>
        <v/>
      </c>
      <c r="N182" s="10"/>
      <c r="O182" s="10"/>
      <c r="P182" s="10"/>
    </row>
    <row r="183" customFormat="false" ht="15" hidden="false" customHeight="false" outlineLevel="0" collapsed="false">
      <c r="A183" s="30"/>
      <c r="B183" s="10"/>
      <c r="C183" s="10"/>
      <c r="D183" s="10"/>
      <c r="E183" s="10"/>
      <c r="F183" s="10"/>
      <c r="G183" s="10"/>
      <c r="H183" s="10"/>
      <c r="I183" s="10"/>
      <c r="J183" s="18"/>
      <c r="K183" s="31"/>
      <c r="L183" s="19" t="str">
        <f aca="false">IF(J183="","",J183*K183)</f>
        <v/>
      </c>
      <c r="M183" s="19" t="str">
        <f aca="false">IF(J183="","",J183+L183)</f>
        <v/>
      </c>
      <c r="N183" s="10"/>
      <c r="O183" s="10"/>
      <c r="P183" s="10"/>
    </row>
    <row r="184" customFormat="false" ht="15" hidden="false" customHeight="false" outlineLevel="0" collapsed="false">
      <c r="A184" s="30"/>
      <c r="B184" s="10"/>
      <c r="C184" s="10"/>
      <c r="D184" s="10"/>
      <c r="E184" s="10"/>
      <c r="F184" s="10"/>
      <c r="G184" s="10"/>
      <c r="H184" s="10"/>
      <c r="I184" s="10"/>
      <c r="J184" s="18"/>
      <c r="K184" s="31"/>
      <c r="L184" s="19" t="str">
        <f aca="false">IF(J184="","",J184*K184)</f>
        <v/>
      </c>
      <c r="M184" s="19" t="str">
        <f aca="false">IF(J184="","",J184+L184)</f>
        <v/>
      </c>
      <c r="N184" s="10"/>
      <c r="O184" s="10"/>
      <c r="P184" s="10"/>
    </row>
    <row r="185" customFormat="false" ht="15" hidden="false" customHeight="false" outlineLevel="0" collapsed="false">
      <c r="A185" s="30"/>
      <c r="B185" s="10"/>
      <c r="C185" s="10"/>
      <c r="D185" s="10"/>
      <c r="E185" s="10"/>
      <c r="F185" s="10"/>
      <c r="G185" s="10"/>
      <c r="H185" s="10"/>
      <c r="I185" s="10"/>
      <c r="J185" s="18"/>
      <c r="K185" s="31"/>
      <c r="L185" s="19" t="str">
        <f aca="false">IF(J185="","",J185*K185)</f>
        <v/>
      </c>
      <c r="M185" s="19" t="str">
        <f aca="false">IF(J185="","",J185+L185)</f>
        <v/>
      </c>
      <c r="N185" s="10"/>
      <c r="O185" s="10"/>
      <c r="P185" s="10"/>
    </row>
    <row r="186" customFormat="false" ht="15" hidden="false" customHeight="false" outlineLevel="0" collapsed="false">
      <c r="A186" s="30"/>
      <c r="B186" s="10"/>
      <c r="C186" s="10"/>
      <c r="D186" s="10"/>
      <c r="E186" s="10"/>
      <c r="F186" s="10"/>
      <c r="G186" s="10"/>
      <c r="H186" s="10"/>
      <c r="I186" s="10"/>
      <c r="J186" s="18"/>
      <c r="K186" s="31"/>
      <c r="L186" s="19" t="str">
        <f aca="false">IF(J186="","",J186*K186)</f>
        <v/>
      </c>
      <c r="M186" s="19" t="str">
        <f aca="false">IF(J186="","",J186+L186)</f>
        <v/>
      </c>
      <c r="N186" s="10"/>
      <c r="O186" s="10"/>
      <c r="P186" s="10"/>
    </row>
    <row r="187" customFormat="false" ht="15" hidden="false" customHeight="false" outlineLevel="0" collapsed="false">
      <c r="A187" s="30"/>
      <c r="B187" s="10"/>
      <c r="C187" s="10"/>
      <c r="D187" s="10"/>
      <c r="E187" s="10"/>
      <c r="F187" s="10"/>
      <c r="G187" s="10"/>
      <c r="H187" s="10"/>
      <c r="I187" s="10"/>
      <c r="J187" s="18"/>
      <c r="K187" s="31"/>
      <c r="L187" s="19" t="str">
        <f aca="false">IF(J187="","",J187*K187)</f>
        <v/>
      </c>
      <c r="M187" s="19" t="str">
        <f aca="false">IF(J187="","",J187+L187)</f>
        <v/>
      </c>
      <c r="N187" s="10"/>
      <c r="O187" s="10"/>
      <c r="P187" s="10"/>
    </row>
    <row r="188" customFormat="false" ht="15" hidden="false" customHeight="false" outlineLevel="0" collapsed="false">
      <c r="A188" s="30"/>
      <c r="B188" s="10"/>
      <c r="C188" s="10"/>
      <c r="D188" s="10"/>
      <c r="E188" s="10"/>
      <c r="F188" s="10"/>
      <c r="G188" s="10"/>
      <c r="H188" s="10"/>
      <c r="I188" s="10"/>
      <c r="J188" s="18"/>
      <c r="K188" s="31"/>
      <c r="L188" s="19" t="str">
        <f aca="false">IF(J188="","",J188*K188)</f>
        <v/>
      </c>
      <c r="M188" s="19" t="str">
        <f aca="false">IF(J188="","",J188+L188)</f>
        <v/>
      </c>
      <c r="N188" s="10"/>
      <c r="O188" s="10"/>
      <c r="P188" s="10"/>
    </row>
    <row r="189" customFormat="false" ht="15" hidden="false" customHeight="false" outlineLevel="0" collapsed="false">
      <c r="A189" s="30"/>
      <c r="B189" s="10"/>
      <c r="C189" s="10"/>
      <c r="D189" s="10"/>
      <c r="E189" s="10"/>
      <c r="F189" s="10"/>
      <c r="G189" s="10"/>
      <c r="H189" s="10"/>
      <c r="I189" s="10"/>
      <c r="J189" s="18"/>
      <c r="K189" s="31"/>
      <c r="L189" s="19" t="str">
        <f aca="false">IF(J189="","",J189*K189)</f>
        <v/>
      </c>
      <c r="M189" s="19" t="str">
        <f aca="false">IF(J189="","",J189+L189)</f>
        <v/>
      </c>
      <c r="N189" s="10"/>
      <c r="O189" s="10"/>
      <c r="P189" s="10"/>
    </row>
    <row r="190" customFormat="false" ht="15" hidden="false" customHeight="false" outlineLevel="0" collapsed="false">
      <c r="A190" s="30"/>
      <c r="B190" s="10"/>
      <c r="C190" s="10"/>
      <c r="D190" s="10"/>
      <c r="E190" s="10"/>
      <c r="F190" s="10"/>
      <c r="G190" s="10"/>
      <c r="H190" s="10"/>
      <c r="I190" s="10"/>
      <c r="J190" s="18"/>
      <c r="K190" s="31"/>
      <c r="L190" s="19" t="str">
        <f aca="false">IF(J190="","",J190*K190)</f>
        <v/>
      </c>
      <c r="M190" s="19" t="str">
        <f aca="false">IF(J190="","",J190+L190)</f>
        <v/>
      </c>
      <c r="N190" s="10"/>
      <c r="O190" s="10"/>
      <c r="P190" s="10"/>
    </row>
    <row r="191" customFormat="false" ht="15" hidden="false" customHeight="false" outlineLevel="0" collapsed="false">
      <c r="A191" s="30"/>
      <c r="B191" s="10"/>
      <c r="C191" s="10"/>
      <c r="D191" s="10"/>
      <c r="E191" s="10"/>
      <c r="F191" s="10"/>
      <c r="G191" s="10"/>
      <c r="H191" s="10"/>
      <c r="I191" s="10"/>
      <c r="J191" s="18"/>
      <c r="K191" s="31"/>
      <c r="L191" s="19" t="str">
        <f aca="false">IF(J191="","",J191*K191)</f>
        <v/>
      </c>
      <c r="M191" s="19" t="str">
        <f aca="false">IF(J191="","",J191+L191)</f>
        <v/>
      </c>
      <c r="N191" s="10"/>
      <c r="O191" s="10"/>
      <c r="P191" s="10"/>
    </row>
    <row r="192" customFormat="false" ht="15" hidden="false" customHeight="false" outlineLevel="0" collapsed="false">
      <c r="A192" s="30"/>
      <c r="B192" s="10"/>
      <c r="C192" s="10"/>
      <c r="D192" s="10"/>
      <c r="E192" s="10"/>
      <c r="F192" s="10"/>
      <c r="G192" s="10"/>
      <c r="H192" s="10"/>
      <c r="I192" s="10"/>
      <c r="J192" s="18"/>
      <c r="K192" s="31"/>
      <c r="L192" s="19" t="str">
        <f aca="false">IF(J192="","",J192*K192)</f>
        <v/>
      </c>
      <c r="M192" s="19" t="str">
        <f aca="false">IF(J192="","",J192+L192)</f>
        <v/>
      </c>
      <c r="N192" s="10"/>
      <c r="O192" s="10"/>
      <c r="P192" s="10"/>
    </row>
    <row r="193" customFormat="false" ht="15" hidden="false" customHeight="false" outlineLevel="0" collapsed="false">
      <c r="A193" s="30"/>
      <c r="B193" s="10"/>
      <c r="C193" s="10"/>
      <c r="D193" s="10"/>
      <c r="E193" s="10"/>
      <c r="F193" s="10"/>
      <c r="G193" s="10"/>
      <c r="H193" s="10"/>
      <c r="I193" s="10"/>
      <c r="J193" s="18"/>
      <c r="K193" s="31"/>
      <c r="L193" s="19" t="str">
        <f aca="false">IF(J193="","",J193*K193)</f>
        <v/>
      </c>
      <c r="M193" s="19" t="str">
        <f aca="false">IF(J193="","",J193+L193)</f>
        <v/>
      </c>
      <c r="N193" s="10"/>
      <c r="O193" s="10"/>
      <c r="P193" s="10"/>
    </row>
    <row r="194" customFormat="false" ht="15" hidden="false" customHeight="false" outlineLevel="0" collapsed="false">
      <c r="A194" s="30"/>
      <c r="B194" s="10"/>
      <c r="C194" s="10"/>
      <c r="D194" s="10"/>
      <c r="E194" s="10"/>
      <c r="F194" s="10"/>
      <c r="G194" s="10"/>
      <c r="H194" s="10"/>
      <c r="I194" s="10"/>
      <c r="J194" s="18"/>
      <c r="K194" s="31"/>
      <c r="L194" s="19" t="str">
        <f aca="false">IF(J194="","",J194*K194)</f>
        <v/>
      </c>
      <c r="M194" s="19" t="str">
        <f aca="false">IF(J194="","",J194+L194)</f>
        <v/>
      </c>
      <c r="N194" s="10"/>
      <c r="O194" s="10"/>
      <c r="P194" s="10"/>
    </row>
    <row r="195" customFormat="false" ht="15" hidden="false" customHeight="false" outlineLevel="0" collapsed="false">
      <c r="A195" s="30"/>
      <c r="B195" s="10"/>
      <c r="C195" s="10"/>
      <c r="D195" s="10"/>
      <c r="E195" s="10"/>
      <c r="F195" s="10"/>
      <c r="G195" s="10"/>
      <c r="H195" s="10"/>
      <c r="I195" s="10"/>
      <c r="J195" s="18"/>
      <c r="K195" s="31"/>
      <c r="L195" s="19" t="str">
        <f aca="false">IF(J195="","",J195*K195)</f>
        <v/>
      </c>
      <c r="M195" s="19" t="str">
        <f aca="false">IF(J195="","",J195+L195)</f>
        <v/>
      </c>
      <c r="N195" s="10"/>
      <c r="O195" s="10"/>
      <c r="P195" s="10"/>
    </row>
    <row r="196" customFormat="false" ht="15" hidden="false" customHeight="false" outlineLevel="0" collapsed="false">
      <c r="A196" s="30"/>
      <c r="B196" s="10"/>
      <c r="C196" s="10"/>
      <c r="D196" s="10"/>
      <c r="E196" s="10"/>
      <c r="F196" s="10"/>
      <c r="G196" s="10"/>
      <c r="H196" s="10"/>
      <c r="I196" s="10"/>
      <c r="J196" s="18"/>
      <c r="K196" s="31"/>
      <c r="L196" s="19" t="str">
        <f aca="false">IF(J196="","",J196*K196)</f>
        <v/>
      </c>
      <c r="M196" s="19" t="str">
        <f aca="false">IF(J196="","",J196+L196)</f>
        <v/>
      </c>
      <c r="N196" s="10"/>
      <c r="O196" s="10"/>
      <c r="P196" s="10"/>
    </row>
    <row r="197" customFormat="false" ht="15" hidden="false" customHeight="false" outlineLevel="0" collapsed="false">
      <c r="A197" s="30"/>
      <c r="B197" s="10"/>
      <c r="C197" s="10"/>
      <c r="D197" s="10"/>
      <c r="E197" s="10"/>
      <c r="F197" s="10"/>
      <c r="G197" s="10"/>
      <c r="H197" s="10"/>
      <c r="I197" s="10"/>
      <c r="J197" s="18"/>
      <c r="K197" s="31"/>
      <c r="L197" s="19" t="str">
        <f aca="false">IF(J197="","",J197*K197)</f>
        <v/>
      </c>
      <c r="M197" s="19" t="str">
        <f aca="false">IF(J197="","",J197+L197)</f>
        <v/>
      </c>
      <c r="N197" s="10"/>
      <c r="O197" s="10"/>
      <c r="P197" s="10"/>
    </row>
    <row r="198" customFormat="false" ht="15" hidden="false" customHeight="false" outlineLevel="0" collapsed="false">
      <c r="A198" s="30"/>
      <c r="B198" s="10"/>
      <c r="C198" s="10"/>
      <c r="D198" s="10"/>
      <c r="E198" s="10"/>
      <c r="F198" s="10"/>
      <c r="G198" s="10"/>
      <c r="H198" s="10"/>
      <c r="I198" s="10"/>
      <c r="J198" s="18"/>
      <c r="K198" s="31"/>
      <c r="L198" s="19" t="str">
        <f aca="false">IF(J198="","",J198*K198)</f>
        <v/>
      </c>
      <c r="M198" s="19" t="str">
        <f aca="false">IF(J198="","",J198+L198)</f>
        <v/>
      </c>
      <c r="N198" s="10"/>
      <c r="O198" s="10"/>
      <c r="P198" s="10"/>
    </row>
    <row r="199" customFormat="false" ht="15" hidden="false" customHeight="false" outlineLevel="0" collapsed="false">
      <c r="A199" s="30"/>
      <c r="B199" s="10"/>
      <c r="C199" s="10"/>
      <c r="D199" s="10"/>
      <c r="E199" s="10"/>
      <c r="F199" s="10"/>
      <c r="G199" s="10"/>
      <c r="H199" s="10"/>
      <c r="I199" s="10"/>
      <c r="J199" s="18"/>
      <c r="K199" s="31"/>
      <c r="L199" s="19" t="str">
        <f aca="false">IF(J199="","",J199*K199)</f>
        <v/>
      </c>
      <c r="M199" s="19" t="str">
        <f aca="false">IF(J199="","",J199+L199)</f>
        <v/>
      </c>
      <c r="N199" s="10"/>
      <c r="O199" s="10"/>
      <c r="P199" s="10"/>
    </row>
    <row r="200" customFormat="false" ht="15" hidden="false" customHeight="false" outlineLevel="0" collapsed="false">
      <c r="A200" s="30"/>
      <c r="B200" s="10"/>
      <c r="C200" s="10"/>
      <c r="D200" s="10"/>
      <c r="E200" s="10"/>
      <c r="F200" s="10"/>
      <c r="G200" s="10"/>
      <c r="H200" s="10"/>
      <c r="I200" s="10"/>
      <c r="J200" s="18"/>
      <c r="K200" s="31"/>
      <c r="L200" s="19" t="str">
        <f aca="false">IF(J200="","",J200*K200)</f>
        <v/>
      </c>
      <c r="M200" s="19" t="str">
        <f aca="false">IF(J200="","",J200+L200)</f>
        <v/>
      </c>
      <c r="N200" s="10"/>
      <c r="O200" s="10"/>
      <c r="P200" s="10"/>
    </row>
    <row r="201" customFormat="false" ht="15" hidden="false" customHeight="false" outlineLevel="0" collapsed="false">
      <c r="A201" s="30"/>
      <c r="B201" s="10"/>
      <c r="C201" s="10"/>
      <c r="D201" s="10"/>
      <c r="E201" s="10"/>
      <c r="F201" s="10"/>
      <c r="G201" s="10"/>
      <c r="H201" s="10"/>
      <c r="I201" s="10"/>
      <c r="J201" s="18"/>
      <c r="K201" s="31"/>
      <c r="L201" s="19" t="str">
        <f aca="false">IF(J201="","",J201*K201)</f>
        <v/>
      </c>
      <c r="M201" s="19" t="str">
        <f aca="false">IF(J201="","",J201+L201)</f>
        <v/>
      </c>
      <c r="N201" s="10"/>
      <c r="O201" s="10"/>
      <c r="P201" s="10"/>
    </row>
    <row r="203" customFormat="false" ht="15" hidden="false" customHeight="false" outlineLevel="0" collapsed="false">
      <c r="I203" s="32" t="s">
        <v>59</v>
      </c>
      <c r="J203" s="33" t="n">
        <f aca="false">SUM(J4:J201)</f>
        <v>0</v>
      </c>
      <c r="L203" s="33" t="n">
        <f aca="false">SUM(L4:L201)</f>
        <v>0</v>
      </c>
      <c r="M203" s="33" t="n">
        <f aca="false">SUM(M4:M201)</f>
        <v>0</v>
      </c>
    </row>
    <row r="205" customFormat="false" ht="15" hidden="false" customHeight="false" outlineLevel="0" collapsed="false">
      <c r="A205" s="34" t="s">
        <v>86</v>
      </c>
    </row>
  </sheetData>
  <mergeCells count="1">
    <mergeCell ref="A1:P1"/>
  </mergeCells>
  <dataValidations count="5">
    <dataValidation allowBlank="true" errorStyle="stop" operator="between" showDropDown="false" showErrorMessage="false" showInputMessage="false" sqref="B4:B201" type="list">
      <formula1>"Construction,Machinery &amp; Equipment,Water,Transportation,Furniture &amp; Fittings,Utilities (Electricity/Gas),Permits &amp; Licensing,Labor / Contractor Fees,Raw Materials &amp; Supplies,Marketing &amp; Branding,Contingency,Miscellaneous"</formula1>
      <formula2>0</formula2>
    </dataValidation>
    <dataValidation allowBlank="true" errorStyle="stop" operator="between" showDropDown="false" showErrorMessage="false" showInputMessage="false" sqref="G4:G201" type="list">
      <formula1>"Cash,Bank Transfer,Cheque,Credit Card,Mobile Payment"</formula1>
      <formula2>0</formula2>
    </dataValidation>
    <dataValidation allowBlank="true" errorStyle="stop" operator="between" showDropDown="false" showErrorMessage="false" showInputMessage="false" sqref="H4:H201" type="list">
      <formula1>"Paid,Pending,Partially Paid,Overdue"</formula1>
      <formula2>0</formula2>
    </dataValidation>
    <dataValidation allowBlank="true" errorStyle="stop" operator="between" showDropDown="false" showErrorMessage="false" showInputMessage="false" sqref="I4:I201" type="list">
      <formula1>"AED,USD"</formula1>
      <formula2>0</formula2>
    </dataValidation>
    <dataValidation allowBlank="true" errorStyle="stop" operator="between" showDropDown="false" showErrorMessage="false" showInputMessage="false" sqref="O4:O201" type="list">
      <formula1>"Pre-Construction,Construction,Fit-Out &amp; Equipment,Pre-Opening,Operations"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6" min="5" style="0" width="18"/>
    <col collapsed="false" customWidth="true" hidden="false" outlineLevel="0" max="8" min="7" style="0" width="4"/>
  </cols>
  <sheetData>
    <row r="2" customFormat="false" ht="19.7" hidden="false" customHeight="false" outlineLevel="0" collapsed="false">
      <c r="B2" s="35" t="s">
        <v>87</v>
      </c>
      <c r="C2" s="35"/>
      <c r="D2" s="35"/>
      <c r="E2" s="35"/>
      <c r="F2" s="35"/>
      <c r="G2" s="35"/>
    </row>
    <row r="4" customFormat="false" ht="15" hidden="false" customHeight="false" outlineLevel="0" collapsed="false">
      <c r="B4" s="36" t="s">
        <v>88</v>
      </c>
      <c r="C4" s="36"/>
      <c r="D4" s="36" t="s">
        <v>89</v>
      </c>
      <c r="E4" s="36"/>
      <c r="F4" s="36" t="s">
        <v>90</v>
      </c>
      <c r="G4" s="36"/>
      <c r="H4" s="36" t="s">
        <v>45</v>
      </c>
      <c r="I4" s="36"/>
    </row>
    <row r="5" customFormat="false" ht="15" hidden="false" customHeight="false" outlineLevel="0" collapsed="false">
      <c r="B5" s="37" t="n">
        <f aca="false">'Budget Tracker'!B15</f>
        <v>0</v>
      </c>
      <c r="C5" s="37"/>
      <c r="D5" s="37" t="n">
        <f aca="false">'Budget Tracker'!C15</f>
        <v>0</v>
      </c>
      <c r="E5" s="37"/>
      <c r="F5" s="37" t="n">
        <f aca="false">'Budget Tracker'!D15</f>
        <v>0</v>
      </c>
      <c r="G5" s="37"/>
      <c r="H5" s="38" t="n">
        <f aca="false">'Budget Tracker'!E15</f>
        <v>0</v>
      </c>
      <c r="I5" s="38"/>
    </row>
    <row r="6" customFormat="false" ht="15" hidden="false" customHeight="false" outlineLevel="0" collapsed="false">
      <c r="B6" s="37"/>
      <c r="C6" s="37"/>
      <c r="D6" s="37"/>
      <c r="E6" s="37"/>
      <c r="F6" s="37"/>
      <c r="G6" s="37"/>
      <c r="H6" s="38"/>
      <c r="I6" s="38"/>
    </row>
    <row r="9" customFormat="false" ht="15" hidden="false" customHeight="false" outlineLevel="0" collapsed="false">
      <c r="B9" s="8" t="s">
        <v>91</v>
      </c>
      <c r="E9" s="8" t="s">
        <v>92</v>
      </c>
    </row>
    <row r="10" customFormat="false" ht="15" hidden="false" customHeight="false" outlineLevel="0" collapsed="false">
      <c r="B10" s="39" t="s">
        <v>41</v>
      </c>
      <c r="C10" s="39" t="s">
        <v>93</v>
      </c>
      <c r="E10" s="39" t="s">
        <v>94</v>
      </c>
      <c r="F10" s="39" t="s">
        <v>95</v>
      </c>
    </row>
    <row r="11" customFormat="false" ht="15" hidden="false" customHeight="false" outlineLevel="0" collapsed="false">
      <c r="B11" s="17" t="str">
        <f aca="false">'Budget Tracker'!A3</f>
        <v>Construction</v>
      </c>
      <c r="C11" s="19" t="n">
        <f aca="false">'Budget Tracker'!C3</f>
        <v>0</v>
      </c>
      <c r="E11" s="17" t="s">
        <v>83</v>
      </c>
      <c r="F11" s="19" t="n">
        <f aca="false">SUMIFS('Expense Log'!$M$4:$M$201,'Expense Log'!$H$4:$H$201,E11)</f>
        <v>0</v>
      </c>
    </row>
    <row r="12" customFormat="false" ht="15" hidden="false" customHeight="false" outlineLevel="0" collapsed="false">
      <c r="B12" s="17" t="str">
        <f aca="false">'Budget Tracker'!A4</f>
        <v>Machinery &amp; Equipment</v>
      </c>
      <c r="C12" s="19" t="n">
        <f aca="false">'Budget Tracker'!C4</f>
        <v>0</v>
      </c>
      <c r="E12" s="17" t="s">
        <v>96</v>
      </c>
      <c r="F12" s="19" t="n">
        <f aca="false">SUMIFS('Expense Log'!$M$4:$M$201,'Expense Log'!$H$4:$H$201,E12)</f>
        <v>0</v>
      </c>
    </row>
    <row r="13" customFormat="false" ht="15" hidden="false" customHeight="false" outlineLevel="0" collapsed="false">
      <c r="B13" s="17" t="str">
        <f aca="false">'Budget Tracker'!A5</f>
        <v>Water</v>
      </c>
      <c r="C13" s="19" t="n">
        <f aca="false">'Budget Tracker'!C5</f>
        <v>0</v>
      </c>
      <c r="E13" s="17" t="s">
        <v>97</v>
      </c>
      <c r="F13" s="19" t="n">
        <f aca="false">SUMIFS('Expense Log'!$M$4:$M$201,'Expense Log'!$H$4:$H$201,E13)</f>
        <v>0</v>
      </c>
    </row>
    <row r="14" customFormat="false" ht="15" hidden="false" customHeight="false" outlineLevel="0" collapsed="false">
      <c r="B14" s="17" t="str">
        <f aca="false">'Budget Tracker'!A6</f>
        <v>Transportation</v>
      </c>
      <c r="C14" s="19" t="n">
        <f aca="false">'Budget Tracker'!C6</f>
        <v>0</v>
      </c>
      <c r="E14" s="17" t="s">
        <v>98</v>
      </c>
      <c r="F14" s="19" t="n">
        <f aca="false">SUMIFS('Expense Log'!$M$4:$M$201,'Expense Log'!$H$4:$H$201,E14)</f>
        <v>0</v>
      </c>
    </row>
    <row r="15" customFormat="false" ht="15" hidden="false" customHeight="false" outlineLevel="0" collapsed="false">
      <c r="B15" s="17" t="str">
        <f aca="false">'Budget Tracker'!A7</f>
        <v>Furniture &amp; Fittings</v>
      </c>
      <c r="C15" s="19" t="n">
        <f aca="false">'Budget Tracker'!C7</f>
        <v>0</v>
      </c>
    </row>
    <row r="16" customFormat="false" ht="15" hidden="false" customHeight="false" outlineLevel="0" collapsed="false">
      <c r="B16" s="17" t="str">
        <f aca="false">'Budget Tracker'!A8</f>
        <v>Utilities (Electricity/Gas)</v>
      </c>
      <c r="C16" s="19" t="n">
        <f aca="false">'Budget Tracker'!C8</f>
        <v>0</v>
      </c>
    </row>
    <row r="17" customFormat="false" ht="15" hidden="false" customHeight="false" outlineLevel="0" collapsed="false">
      <c r="B17" s="17" t="str">
        <f aca="false">'Budget Tracker'!A9</f>
        <v>Permits &amp; Licensing</v>
      </c>
      <c r="C17" s="19" t="n">
        <f aca="false">'Budget Tracker'!C9</f>
        <v>0</v>
      </c>
    </row>
    <row r="18" customFormat="false" ht="15" hidden="false" customHeight="false" outlineLevel="0" collapsed="false">
      <c r="B18" s="17" t="str">
        <f aca="false">'Budget Tracker'!A10</f>
        <v>Labor / Contractor Fees</v>
      </c>
      <c r="C18" s="19" t="n">
        <f aca="false">'Budget Tracker'!C10</f>
        <v>0</v>
      </c>
    </row>
    <row r="19" customFormat="false" ht="15" hidden="false" customHeight="false" outlineLevel="0" collapsed="false">
      <c r="B19" s="17" t="str">
        <f aca="false">'Budget Tracker'!A11</f>
        <v>Raw Materials &amp; Supplies</v>
      </c>
      <c r="C19" s="19" t="n">
        <f aca="false">'Budget Tracker'!C11</f>
        <v>0</v>
      </c>
    </row>
    <row r="20" customFormat="false" ht="15" hidden="false" customHeight="false" outlineLevel="0" collapsed="false">
      <c r="B20" s="17" t="str">
        <f aca="false">'Budget Tracker'!A12</f>
        <v>Marketing &amp; Branding</v>
      </c>
      <c r="C20" s="19" t="n">
        <f aca="false">'Budget Tracker'!C12</f>
        <v>0</v>
      </c>
    </row>
    <row r="21" customFormat="false" ht="15" hidden="false" customHeight="false" outlineLevel="0" collapsed="false">
      <c r="B21" s="17" t="str">
        <f aca="false">'Budget Tracker'!A13</f>
        <v>Contingency</v>
      </c>
      <c r="C21" s="19" t="n">
        <f aca="false">'Budget Tracker'!C13</f>
        <v>0</v>
      </c>
    </row>
    <row r="22" customFormat="false" ht="15" hidden="false" customHeight="false" outlineLevel="0" collapsed="false">
      <c r="B22" s="17" t="str">
        <f aca="false">'Budget Tracker'!A14</f>
        <v>Miscellaneous</v>
      </c>
      <c r="C22" s="19" t="n">
        <f aca="false">'Budget Tracker'!C14</f>
        <v>0</v>
      </c>
    </row>
    <row r="42" customFormat="false" ht="15" hidden="false" customHeight="false" outlineLevel="0" collapsed="false">
      <c r="B42" s="34" t="s">
        <v>99</v>
      </c>
    </row>
  </sheetData>
  <mergeCells count="9">
    <mergeCell ref="B2:G2"/>
    <mergeCell ref="B4:C4"/>
    <mergeCell ref="D4:E4"/>
    <mergeCell ref="F4:G4"/>
    <mergeCell ref="H4:I4"/>
    <mergeCell ref="B5:C6"/>
    <mergeCell ref="D5:E6"/>
    <mergeCell ref="F5:G6"/>
    <mergeCell ref="H5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15" t="s">
        <v>100</v>
      </c>
      <c r="B1" s="15"/>
      <c r="C1" s="15"/>
      <c r="D1" s="15"/>
      <c r="E1" s="15"/>
      <c r="F1" s="15"/>
      <c r="G1" s="15"/>
    </row>
    <row r="2" customFormat="false" ht="27.75" hidden="false" customHeight="true" outlineLevel="0" collapsed="false">
      <c r="A2" s="16" t="s">
        <v>65</v>
      </c>
      <c r="B2" s="16" t="s">
        <v>41</v>
      </c>
      <c r="C2" s="16" t="s">
        <v>101</v>
      </c>
      <c r="D2" s="16" t="s">
        <v>102</v>
      </c>
      <c r="E2" s="16" t="s">
        <v>103</v>
      </c>
      <c r="F2" s="16" t="s">
        <v>104</v>
      </c>
      <c r="G2" s="16" t="s">
        <v>76</v>
      </c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2026-08-20T08:53:27Z</dcterms:created>
  <dc:creator>openpyxl</dc:creator>
  <dc:description/>
  <dc:language>en-US</dc:language>
  <cp:lastModifiedBy/>
  <dcterms:modified xsi:type="dcterms:W3CDTF">2026-08-20T08:53:31Z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